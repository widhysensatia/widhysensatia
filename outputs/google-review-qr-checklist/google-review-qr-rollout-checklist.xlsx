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301ababf9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lout Checklist" sheetId="1" r:id="Re0a90d39bf1a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0"/>
    <x:numFmt numFmtId="203" formatCode="yyyy-mm-dd"/>
  </x:numFmts>
  <x:fonts count="7">
    <x:font>
      <x:sz val="11"/>
      <x:name val="Carlito"/>
    </x:font>
    <x:font>
      <x:b/>
      <x:sz val="16"/>
      <x:color rgb="FF183B32"/>
      <x:name val="Carlito"/>
    </x:font>
    <x:font>
      <x:i/>
      <x:sz val="10"/>
      <x:color rgb="FF5F716B"/>
      <x:name val="Carlito"/>
    </x:font>
    <x:font>
      <x:b/>
      <x:sz val="11"/>
      <x:color rgb="FF183B32"/>
      <x:name val="Carlito"/>
    </x:font>
    <x:font>
      <x:sz val="11"/>
      <x:color rgb="FF5F716B"/>
      <x:name val="Carlito"/>
    </x:font>
    <x:font>
      <x:b/>
      <x:sz val="11"/>
      <x:color rgb="FFFFFFFF"/>
      <x:name val="Carlito"/>
    </x:font>
    <x:font>
      <x:sz val="10"/>
      <x:color rgb="FF253D3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174C3F"/>
      </x:patternFill>
    </x:fill>
    <x:fill>
      <x:patternFill patternType="solid">
        <x:fgColor rgb="FFFFFFFF"/>
      </x:patternFill>
    </x:fill>
  </x:fills>
  <x:borders count="4">
    <x:border/>
    <x:border>
      <x:bottom style="thin">
        <x:color rgb="FFC9D8D1"/>
      </x:bottom>
    </x:border>
    <x:border>
      <x:left style="thin">
        <x:color rgb="FFDCE6E1"/>
      </x:left>
      <x:right style="thin">
        <x:color rgb="FFDCE6E1"/>
      </x:right>
      <x:top style="thin">
        <x:color rgb="FFDCE6E1"/>
      </x:top>
      <x:bottom style="thin">
        <x:color rgb="FFDCE6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200" fontId="0" fillId="2" borderId="2" xfId="0" applyNumberFormat="1" applyFont="1" applyFill="1" applyBorder="1"/>
    <x:xf numFmtId="201" fontId="0" fillId="2" borderId="2" xfId="0" applyNumberFormat="1" applyFont="1" applyFill="1" applyBorder="1"/>
    <x:xf numFmtId="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4" fillId="4" borderId="2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5" fillId="3" borderId="2" xfId="0" applyNumberFormat="1" applyFont="1" applyFill="1" applyBorder="1" applyAlignment="1">
      <x:alignment horizontal="center" vertical="center"/>
    </x:xf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2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horizontal="center" vertical="center"/>
    </x:xf>
    <x:xf numFmtId="202" fontId="6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">
    <x:dxf>
      <x:font>
        <x:b/>
        <x:color rgb="FF0D6B45"/>
      </x:font>
      <x:fill>
        <x:patternFill patternType="solid">
          <x:bgColor rgb="FFDDF4E8"/>
        </x:patternFill>
      </x:fill>
    </x:dxf>
    <x:dxf>
      <x:font>
        <x:b/>
        <x:color rgb="FF265AA8"/>
      </x:font>
      <x:fill>
        <x:patternFill patternType="solid">
          <x:bgColor rgb="FFE7F0FF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color rgb="FF0D6B45"/>
      </x:font>
      <x:fill>
        <x:patternFill patternType="solid">
          <x:bgColor rgb="FFDDF4E8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color rgb="FF8A5A00"/>
      </x:font>
      <x:fill>
        <x:patternFill patternType="solid">
          <x:bgColor rgb="FFFFF8E1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fdef14f4e419d" /><Relationship Type="http://schemas.openxmlformats.org/officeDocument/2006/relationships/theme" Target="/xl/theme/theme1.xml" Id="R90f90f4568e842d2" /><Relationship Type="http://schemas.openxmlformats.org/officeDocument/2006/relationships/sharedStrings" Target="/xl/sharedStrings.xml" Id="Rdebe98ace124492c" /><Relationship Type="http://schemas.openxmlformats.org/officeDocument/2006/relationships/worksheet" Target="/xl/worksheets/sheet1.xml" Id="Re0a90d39bf1a4b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C3F"/>
  </x:sheetPr>
  <x:sheetViews>
    <x:sheetView showGridLines="0" workbookViewId="0">
      <x:pane xSplit="3" ySplit="12" topLeftCell="D13" activePane="bottomRight" state="frozen"/>
    </x:sheetView>
  </x:sheetViews>
  <x:sheetFormatPr defaultRowHeight="15"/>
  <x:cols>
    <x:col min="2" max="2" width="7" hidden="0" customWidth="1"/>
    <x:col min="3" max="3" width="34" hidden="0" customWidth="1"/>
    <x:col min="4" max="4" width="30" hidden="0" customWidth="1"/>
    <x:col min="5" max="5" width="18" hidden="0" customWidth="1"/>
    <x:col min="6" max="6" width="20" hidden="0" customWidth="1"/>
    <x:col min="7" max="7" width="16" hidden="0" customWidth="1"/>
    <x:col min="8" max="8" width="16" hidden="0" customWidth="1"/>
    <x:col min="9" max="9" width="17" hidden="0" customWidth="1"/>
    <x:col min="10" max="10" width="16" hidden="0" customWidth="1"/>
    <x:col min="11" max="11" width="22" hidden="0" customWidth="1"/>
    <x:col min="12" max="12" width="18" hidden="0" customWidth="1"/>
    <x:col min="13" max="13" width="15" hidden="0" customWidth="1"/>
    <x:col min="14" max="14" width="16" hidden="0" customWidth="1"/>
    <x:col min="15" max="15" width="22" hidden="0" customWidth="1"/>
    <x:col min="16" max="16" width="32" hidden="0" customWidth="1"/>
    <x:col min="17" max="17" width="12" hidden="0" customWidth="1"/>
    <x:col min="18" max="18" width="13" hidden="0" customWidth="1"/>
    <x:col min="19" max="19" width="34" hidden="0" customWidth="1"/>
    <x:col min="20" max="20" width="14" hidden="0" customWidth="1"/>
  </x:cols>
  <x:sheetData>
    <x:row r="2" ht="26" hidden="0" customHeight="1">
      <x:c r="B2" s="1" t="str">
        <x:v>Google Review QR Rollout Checklist</x:v>
      </x:c>
      <x:c r="C2" s="1" t="str"/>
      <x:c r="D2" s="1" t="str"/>
      <x:c r="E2" s="1" t="str"/>
      <x:c r="F2" s="1" t="str"/>
      <x:c r="G2" s="1" t="str"/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/>
      <x:c r="R2" s="1" t="str"/>
      <x:c r="S2" s="1" t="str"/>
    </x:row>
    <x:row r="3" ht="36" hidden="0" customHeight="1">
      <x:c r="B3" s="2" t="str">
        <x:v>Checklist operasional untuk 52 toko. IT/Widhy menyiapkan instruksi dan tracker, Jeppy/Marketing menyediakan QR resmi, Creative membuat artwork, Malik/VM memastikan placement, dan Erlin/Retail Operation mengoordinasikan pemasangan toko.</x:v>
      </x:c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15" hidden="0" customHeight="1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15" hidden="0" customHeight="1">
      <x:c r="B5" s="6" t="str">
        <x:v>Total stores</x:v>
      </x:c>
      <x:c r="C5" s="7" t="n">
        <x:v>52</x:v>
      </x:c>
      <x:c r="D5" s="9" t="str">
        <x:v>All active rollout stores</x:v>
      </x:c>
      <x:c r="F5" s="12" t="str">
        <x:v>Role</x:v>
      </x:c>
      <x:c r="G5" s="12" t="str">
        <x:v>Primary responsibility</x:v>
      </x:c>
      <x:c r="H5" s="12" t="str"/>
    </x:row>
    <x:row r="6" ht="15" hidden="0" customHeight="1">
      <x:c r="B6" s="6" t="str">
        <x:v>Complete</x:v>
      </x:c>
      <x:c r="C6" s="7" t="n">
        <x:f>COUNTIF(N13:N64,"Complete")</x:f>
        <x:v>0</x:v>
      </x:c>
      <x:c r="D6" s="9" t="str">
        <x:v>All required steps done</x:v>
      </x:c>
      <x:c r="F6" s="14" t="str">
        <x:v>IT / Widhy</x:v>
      </x:c>
      <x:c r="G6" s="15" t="str">
        <x:v>Instruksi, tutorial, tracker, standar validasi, dan support teknis.</x:v>
      </x:c>
      <x:c r="H6" s="15" t="str"/>
    </x:row>
    <x:row r="7" ht="15" hidden="0" customHeight="1">
      <x:c r="B7" s="6" t="str">
        <x:v>In progress</x:v>
      </x:c>
      <x:c r="C7" s="7" t="n">
        <x:f>COUNTIF(N13:N64,"In Progress")</x:f>
        <x:v>0</x:v>
      </x:c>
      <x:c r="D7" s="9" t="str">
        <x:v>At least one step done</x:v>
      </x:c>
      <x:c r="F7" s="14" t="str">
        <x:v>Jeppy / Marketing</x:v>
      </x:c>
      <x:c r="G7" s="15" t="str">
        <x:v>Provide official QR dan review link dari Google Business Profile.</x:v>
      </x:c>
      <x:c r="H7" s="15" t="str"/>
    </x:row>
    <x:row r="8" ht="15" hidden="0" customHeight="1">
      <x:c r="B8" s="6" t="str">
        <x:v>Blocked</x:v>
      </x:c>
      <x:c r="C8" s="7" t="n">
        <x:f>COUNTIF(N13:N64,"Blocked")</x:f>
        <x:v>0</x:v>
      </x:c>
      <x:c r="D8" s="9" t="str">
        <x:v>Needs owner follow-up</x:v>
      </x:c>
      <x:c r="F8" s="14" t="str">
        <x:v>Creative</x:v>
      </x:c>
      <x:c r="G8" s="15" t="str">
        <x:v>Masukkan QR resmi ke artwork tanpa membuat QR alternatif.</x:v>
      </x:c>
      <x:c r="H8" s="15" t="str"/>
    </x:row>
    <x:row r="9" ht="15" hidden="0" customHeight="1">
      <x:c r="B9" s="6" t="str">
        <x:v>Not started</x:v>
      </x:c>
      <x:c r="C9" s="7" t="n">
        <x:f>COUNTIF(N13:N64,"Not Started")</x:f>
        <x:v>52</x:v>
      </x:c>
      <x:c r="D9" s="9" t="str">
        <x:v>No step completed yet</x:v>
      </x:c>
      <x:c r="F9" s="14" t="str">
        <x:v>Malik / VM</x:v>
      </x:c>
      <x:c r="G9" s="15" t="str">
        <x:v>Placement, ukuran, posisi display, dan visual merchandising.</x:v>
      </x:c>
      <x:c r="H9" s="15" t="str"/>
    </x:row>
    <x:row r="10" ht="15" hidden="0" customHeight="1">
      <x:c r="B10" s="6" t="str">
        <x:v>Completion rate</x:v>
      </x:c>
      <x:c r="C10" s="8" t="n">
        <x:f>C6/C5</x:f>
        <x:v>0</x:v>
      </x:c>
      <x:c r="D10" s="9" t="str">
        <x:v>Complete stores divided by total</x:v>
      </x:c>
      <x:c r="F10" s="14" t="str">
        <x:v>Erlin / Retail Ops</x:v>
      </x:c>
      <x:c r="G10" s="15" t="str">
        <x:v>Distribusi material, instruksi store team, pemasangan, dan final scan test.</x:v>
      </x:c>
      <x:c r="H10" s="15" t="str"/>
    </x:row>
    <x:row r="11"/>
    <x:row r="12" ht="25" hidden="0" customHeight="1">
      <x:c r="B12" s="21" t="str">
        <x:v>#</x:v>
      </x:c>
      <x:c r="C12" s="21" t="str">
        <x:v>Store</x:v>
      </x:c>
      <x:c r="D12" s="21" t="str">
        <x:v>Region</x:v>
      </x:c>
      <x:c r="E12" s="21" t="str">
        <x:v>City</x:v>
      </x:c>
      <x:c r="F12" s="21" t="str">
        <x:v>GBP owner</x:v>
      </x:c>
      <x:c r="G12" s="21" t="str">
        <x:v>QR by Jeppy</x:v>
      </x:c>
      <x:c r="H12" s="21" t="str">
        <x:v>Initial test</x:v>
      </x:c>
      <x:c r="I12" s="21" t="str">
        <x:v>Sent to Creative</x:v>
      </x:c>
      <x:c r="J12" s="21" t="str">
        <x:v>Design ready</x:v>
      </x:c>
      <x:c r="K12" s="21" t="str">
        <x:v>VM placement approved</x:v>
      </x:c>
      <x:c r="L12" s="21" t="str">
        <x:v>Installed by Ops</x:v>
      </x:c>
      <x:c r="M12" s="21" t="str">
        <x:v>Final test</x:v>
      </x:c>
      <x:c r="N12" s="21" t="str">
        <x:v>Status</x:v>
      </x:c>
      <x:c r="O12" s="21" t="str">
        <x:v>Current owner</x:v>
      </x:c>
      <x:c r="P12" s="21" t="str">
        <x:v>Next action</x:v>
      </x:c>
      <x:c r="Q12" s="21" t="str">
        <x:v>Priority</x:v>
      </x:c>
      <x:c r="R12" s="21" t="str">
        <x:v>Due date</x:v>
      </x:c>
      <x:c r="S12" s="21" t="str">
        <x:v>Notes</x:v>
      </x:c>
      <x:c r="T12" s="21" t="str">
        <x:v>Last updated</x:v>
      </x:c>
    </x:row>
    <x:row r="13" ht="25" hidden="0" customHeight="1">
      <x:c r="B13" s="31" t="n">
        <x:v>1</x:v>
      </x:c>
      <x:c r="C13" s="28" t="str">
        <x:v>Batu Bolong Beach Street</x:v>
      </x:c>
      <x:c r="D13" s="28" t="str">
        <x:v>Bali Area</x:v>
      </x:c>
      <x:c r="E13" s="28" t="str">
        <x:v>Canggu</x:v>
      </x:c>
      <x:c r="F13" s="28" t="str">
        <x:v>Jeppy / Marketing</x:v>
      </x:c>
      <x:c r="G13" s="30" t="str">
        <x:v>Pending</x:v>
      </x:c>
      <x:c r="H13" s="30" t="str">
        <x:v>Pending</x:v>
      </x:c>
      <x:c r="I13" s="30" t="str">
        <x:v>Pending</x:v>
      </x:c>
      <x:c r="J13" s="30" t="str">
        <x:v>Pending</x:v>
      </x:c>
      <x:c r="K13" s="30" t="str">
        <x:v>Pending</x:v>
      </x:c>
      <x:c r="L13" s="30" t="str">
        <x:v>Pending</x:v>
      </x:c>
      <x:c r="M13" s="30" t="str">
        <x:v>Pending</x:v>
      </x:c>
      <x:c r="N13" s="30" t="str">
        <x:f>IF(COUNTIF(G13:M13,"Blocked")&gt;0,"Blocked",IF(COUNTIF(G13:M13,"Done")+COUNTIF(G13:M13,"N/A")=7,"Complete",IF(COUNTIF(G13:M13,"Done")&gt;0,"In Progress","Not Started")))</x:f>
        <x:v>Not Started</x:v>
      </x:c>
      <x:c r="O13" s="30" t="str">
        <x:f>IF(N13="Complete","Done",IF(G13&lt;&gt;"Done","Jeppy / Marketing",IF(H13&lt;&gt;"Done","Jeppy / Marketing",IF(I13&lt;&gt;"Done","Creative",IF(J13&lt;&gt;"Done","Creative",IF(K13&lt;&gt;"Done","Malik / VM",IF(L13&lt;&gt;"Done","Erlin / Retail Ops",IF(M13&lt;&gt;"Done","Store PIC / Retail Ops","Done"))))))))</x:f>
        <x:v>Jeppy / Marketing</x:v>
      </x:c>
      <x:c r="P13" s="30" t="str">
        <x:f>IF(N13="Complete","No further action",IF(G13&lt;&gt;"Done","Provide official QR for this store",IF(H13&lt;&gt;"Done","Scan QR and verify store name",IF(I13&lt;&gt;"Done","Send QR to Creative",IF(J13&lt;&gt;"Done","Finalize artwork",IF(K13&lt;&gt;"Done","Approve VM placement",IF(L13&lt;&gt;"Done","Install at store",IF(M13&lt;&gt;"Done","Perform final scan test","No further action"))))))))</x:f>
        <x:v>Provide official QR for this store</x:v>
      </x:c>
      <x:c r="Q13" s="30" t="str">
        <x:v>Normal</x:v>
      </x:c>
      <x:c r="R13" s="29"/>
      <x:c r="S13" s="28" t="str"/>
      <x:c r="T13" s="29"/>
    </x:row>
    <x:row r="14" ht="25" hidden="0" customHeight="1">
      <x:c r="B14" s="31" t="n">
        <x:v>2</x:v>
      </x:c>
      <x:c r="C14" s="28" t="str">
        <x:v>Parc Valle Pererenan</x:v>
      </x:c>
      <x:c r="D14" s="28" t="str">
        <x:v>Bali Area</x:v>
      </x:c>
      <x:c r="E14" s="28" t="str">
        <x:v>Canggu</x:v>
      </x:c>
      <x:c r="F14" s="28" t="str">
        <x:v>Jeppy / Marketing</x:v>
      </x:c>
      <x:c r="G14" s="30" t="str">
        <x:v>Pending</x:v>
      </x:c>
      <x:c r="H14" s="30" t="str">
        <x:v>Pending</x:v>
      </x:c>
      <x:c r="I14" s="30" t="str">
        <x:v>Pending</x:v>
      </x:c>
      <x:c r="J14" s="30" t="str">
        <x:v>Pending</x:v>
      </x:c>
      <x:c r="K14" s="30" t="str">
        <x:v>Pending</x:v>
      </x:c>
      <x:c r="L14" s="30" t="str">
        <x:v>Pending</x:v>
      </x:c>
      <x:c r="M14" s="30" t="str">
        <x:v>Pending</x:v>
      </x:c>
      <x:c r="N14" s="30" t="str">
        <x:f>IF(COUNTIF(G14:M14,"Blocked")&gt;0,"Blocked",IF(COUNTIF(G14:M14,"Done")+COUNTIF(G14:M14,"N/A")=7,"Complete",IF(COUNTIF(G14:M14,"Done")&gt;0,"In Progress","Not Started")))</x:f>
        <x:v>Not Started</x:v>
      </x:c>
      <x:c r="O14" s="30" t="str">
        <x:f>IF(N14="Complete","Done",IF(G14&lt;&gt;"Done","Jeppy / Marketing",IF(H14&lt;&gt;"Done","Jeppy / Marketing",IF(I14&lt;&gt;"Done","Creative",IF(J14&lt;&gt;"Done","Creative",IF(K14&lt;&gt;"Done","Malik / VM",IF(L14&lt;&gt;"Done","Erlin / Retail Ops",IF(M14&lt;&gt;"Done","Store PIC / Retail Ops","Done"))))))))</x:f>
        <x:v>Jeppy / Marketing</x:v>
      </x:c>
      <x:c r="P14" s="30" t="str">
        <x:f>IF(N14="Complete","No further action",IF(G14&lt;&gt;"Done","Provide official QR for this store",IF(H14&lt;&gt;"Done","Scan QR and verify store name",IF(I14&lt;&gt;"Done","Send QR to Creative",IF(J14&lt;&gt;"Done","Finalize artwork",IF(K14&lt;&gt;"Done","Approve VM placement",IF(L14&lt;&gt;"Done","Install at store",IF(M14&lt;&gt;"Done","Perform final scan test","No further action"))))))))</x:f>
        <x:v>Provide official QR for this store</x:v>
      </x:c>
      <x:c r="Q14" s="30" t="str">
        <x:v>Normal</x:v>
      </x:c>
      <x:c r="R14" s="29"/>
      <x:c r="S14" s="28" t="str"/>
      <x:c r="T14" s="29"/>
    </x:row>
    <x:row r="15" ht="25" hidden="0" customHeight="1">
      <x:c r="B15" s="31" t="n">
        <x:v>3</x:v>
      </x:c>
      <x:c r="C15" s="28" t="str">
        <x:v>Popular Deli Canggu</x:v>
      </x:c>
      <x:c r="D15" s="28" t="str">
        <x:v>Bali Area</x:v>
      </x:c>
      <x:c r="E15" s="28" t="str">
        <x:v>Canggu</x:v>
      </x:c>
      <x:c r="F15" s="28" t="str">
        <x:v>Jeppy / Marketing</x:v>
      </x:c>
      <x:c r="G15" s="30" t="str">
        <x:v>Pending</x:v>
      </x:c>
      <x:c r="H15" s="30" t="str">
        <x:v>Pending</x:v>
      </x:c>
      <x:c r="I15" s="30" t="str">
        <x:v>Pending</x:v>
      </x:c>
      <x:c r="J15" s="30" t="str">
        <x:v>Pending</x:v>
      </x:c>
      <x:c r="K15" s="30" t="str">
        <x:v>Pending</x:v>
      </x:c>
      <x:c r="L15" s="30" t="str">
        <x:v>Pending</x:v>
      </x:c>
      <x:c r="M15" s="30" t="str">
        <x:v>Pending</x:v>
      </x:c>
      <x:c r="N15" s="30" t="str">
        <x:f>IF(COUNTIF(G15:M15,"Blocked")&gt;0,"Blocked",IF(COUNTIF(G15:M15,"Done")+COUNTIF(G15:M15,"N/A")=7,"Complete",IF(COUNTIF(G15:M15,"Done")&gt;0,"In Progress","Not Started")))</x:f>
        <x:v>Not Started</x:v>
      </x:c>
      <x:c r="O15" s="30" t="str">
        <x:f>IF(N15="Complete","Done",IF(G15&lt;&gt;"Done","Jeppy / Marketing",IF(H15&lt;&gt;"Done","Jeppy / Marketing",IF(I15&lt;&gt;"Done","Creative",IF(J15&lt;&gt;"Done","Creative",IF(K15&lt;&gt;"Done","Malik / VM",IF(L15&lt;&gt;"Done","Erlin / Retail Ops",IF(M15&lt;&gt;"Done","Store PIC / Retail Ops","Done"))))))))</x:f>
        <x:v>Jeppy / Marketing</x:v>
      </x:c>
      <x:c r="P15" s="30" t="str">
        <x:f>IF(N15="Complete","No further action",IF(G15&lt;&gt;"Done","Provide official QR for this store",IF(H15&lt;&gt;"Done","Scan QR and verify store name",IF(I15&lt;&gt;"Done","Send QR to Creative",IF(J15&lt;&gt;"Done","Finalize artwork",IF(K15&lt;&gt;"Done","Approve VM placement",IF(L15&lt;&gt;"Done","Install at store",IF(M15&lt;&gt;"Done","Perform final scan test","No further action"))))))))</x:f>
        <x:v>Provide official QR for this store</x:v>
      </x:c>
      <x:c r="Q15" s="30" t="str">
        <x:v>Normal</x:v>
      </x:c>
      <x:c r="R15" s="29"/>
      <x:c r="S15" s="28" t="str"/>
      <x:c r="T15" s="29"/>
    </x:row>
    <x:row r="16" ht="25" hidden="0" customHeight="1">
      <x:c r="B16" s="31" t="n">
        <x:v>4</x:v>
      </x:c>
      <x:c r="C16" s="28" t="str">
        <x:v>Subak Sari Canggu</x:v>
      </x:c>
      <x:c r="D16" s="28" t="str">
        <x:v>Bali Area</x:v>
      </x:c>
      <x:c r="E16" s="28" t="str">
        <x:v>Canggu</x:v>
      </x:c>
      <x:c r="F16" s="28" t="str">
        <x:v>Jeppy / Marketing</x:v>
      </x:c>
      <x:c r="G16" s="30" t="str">
        <x:v>Pending</x:v>
      </x:c>
      <x:c r="H16" s="30" t="str">
        <x:v>Pending</x:v>
      </x:c>
      <x:c r="I16" s="30" t="str">
        <x:v>Pending</x:v>
      </x:c>
      <x:c r="J16" s="30" t="str">
        <x:v>Pending</x:v>
      </x:c>
      <x:c r="K16" s="30" t="str">
        <x:v>Pending</x:v>
      </x:c>
      <x:c r="L16" s="30" t="str">
        <x:v>Pending</x:v>
      </x:c>
      <x:c r="M16" s="30" t="str">
        <x:v>Pending</x:v>
      </x:c>
      <x:c r="N16" s="30" t="str">
        <x:f>IF(COUNTIF(G16:M16,"Blocked")&gt;0,"Blocked",IF(COUNTIF(G16:M16,"Done")+COUNTIF(G16:M16,"N/A")=7,"Complete",IF(COUNTIF(G16:M16,"Done")&gt;0,"In Progress","Not Started")))</x:f>
        <x:v>Not Started</x:v>
      </x:c>
      <x:c r="O16" s="30" t="str">
        <x:f>IF(N16="Complete","Done",IF(G16&lt;&gt;"Done","Jeppy / Marketing",IF(H16&lt;&gt;"Done","Jeppy / Marketing",IF(I16&lt;&gt;"Done","Creative",IF(J16&lt;&gt;"Done","Creative",IF(K16&lt;&gt;"Done","Malik / VM",IF(L16&lt;&gt;"Done","Erlin / Retail Ops",IF(M16&lt;&gt;"Done","Store PIC / Retail Ops","Done"))))))))</x:f>
        <x:v>Jeppy / Marketing</x:v>
      </x:c>
      <x:c r="P16" s="30" t="str">
        <x:f>IF(N16="Complete","No further action",IF(G16&lt;&gt;"Done","Provide official QR for this store",IF(H16&lt;&gt;"Done","Scan QR and verify store name",IF(I16&lt;&gt;"Done","Send QR to Creative",IF(J16&lt;&gt;"Done","Finalize artwork",IF(K16&lt;&gt;"Done","Approve VM placement",IF(L16&lt;&gt;"Done","Install at store",IF(M16&lt;&gt;"Done","Perform final scan test","No further action"))))))))</x:f>
        <x:v>Provide official QR for this store</x:v>
      </x:c>
      <x:c r="Q16" s="30" t="str">
        <x:v>Normal</x:v>
      </x:c>
      <x:c r="R16" s="29"/>
      <x:c r="S16" s="28" t="str"/>
      <x:c r="T16" s="29"/>
    </x:row>
    <x:row r="17" ht="25" hidden="0" customHeight="1">
      <x:c r="B17" s="31" t="n">
        <x:v>5</x:v>
      </x:c>
      <x:c r="C17" s="28" t="str">
        <x:v>Level 21 Mall</x:v>
      </x:c>
      <x:c r="D17" s="28" t="str">
        <x:v>Bali Area</x:v>
      </x:c>
      <x:c r="E17" s="28" t="str">
        <x:v>Denpasar</x:v>
      </x:c>
      <x:c r="F17" s="28" t="str">
        <x:v>Jeppy / Marketing</x:v>
      </x:c>
      <x:c r="G17" s="30" t="str">
        <x:v>Pending</x:v>
      </x:c>
      <x:c r="H17" s="30" t="str">
        <x:v>Pending</x:v>
      </x:c>
      <x:c r="I17" s="30" t="str">
        <x:v>Pending</x:v>
      </x:c>
      <x:c r="J17" s="30" t="str">
        <x:v>Pending</x:v>
      </x:c>
      <x:c r="K17" s="30" t="str">
        <x:v>Pending</x:v>
      </x:c>
      <x:c r="L17" s="30" t="str">
        <x:v>Pending</x:v>
      </x:c>
      <x:c r="M17" s="30" t="str">
        <x:v>Pending</x:v>
      </x:c>
      <x:c r="N17" s="30" t="str">
        <x:f>IF(COUNTIF(G17:M17,"Blocked")&gt;0,"Blocked",IF(COUNTIF(G17:M17,"Done")+COUNTIF(G17:M17,"N/A")=7,"Complete",IF(COUNTIF(G17:M17,"Done")&gt;0,"In Progress","Not Started")))</x:f>
        <x:v>Not Started</x:v>
      </x:c>
      <x:c r="O17" s="30" t="str">
        <x:f>IF(N17="Complete","Done",IF(G17&lt;&gt;"Done","Jeppy / Marketing",IF(H17&lt;&gt;"Done","Jeppy / Marketing",IF(I17&lt;&gt;"Done","Creative",IF(J17&lt;&gt;"Done","Creative",IF(K17&lt;&gt;"Done","Malik / VM",IF(L17&lt;&gt;"Done","Erlin / Retail Ops",IF(M17&lt;&gt;"Done","Store PIC / Retail Ops","Done"))))))))</x:f>
        <x:v>Jeppy / Marketing</x:v>
      </x:c>
      <x:c r="P17" s="30" t="str">
        <x:f>IF(N17="Complete","No further action",IF(G17&lt;&gt;"Done","Provide official QR for this store",IF(H17&lt;&gt;"Done","Scan QR and verify store name",IF(I17&lt;&gt;"Done","Send QR to Creative",IF(J17&lt;&gt;"Done","Finalize artwork",IF(K17&lt;&gt;"Done","Approve VM placement",IF(L17&lt;&gt;"Done","Install at store",IF(M17&lt;&gt;"Done","Perform final scan test","No further action"))))))))</x:f>
        <x:v>Provide official QR for this store</x:v>
      </x:c>
      <x:c r="Q17" s="30" t="str">
        <x:v>Normal</x:v>
      </x:c>
      <x:c r="R17" s="29"/>
      <x:c r="S17" s="28" t="str"/>
      <x:c r="T17" s="29"/>
    </x:row>
    <x:row r="18" ht="25" hidden="0" customHeight="1">
      <x:c r="B18" s="31" t="n">
        <x:v>6</x:v>
      </x:c>
      <x:c r="C18" s="28" t="str">
        <x:v>Living World Denpasar</x:v>
      </x:c>
      <x:c r="D18" s="28" t="str">
        <x:v>Bali Area</x:v>
      </x:c>
      <x:c r="E18" s="28" t="str">
        <x:v>Denpasar</x:v>
      </x:c>
      <x:c r="F18" s="28" t="str">
        <x:v>Jeppy / Marketing</x:v>
      </x:c>
      <x:c r="G18" s="30" t="str">
        <x:v>Pending</x:v>
      </x:c>
      <x:c r="H18" s="30" t="str">
        <x:v>Pending</x:v>
      </x:c>
      <x:c r="I18" s="30" t="str">
        <x:v>Pending</x:v>
      </x:c>
      <x:c r="J18" s="30" t="str">
        <x:v>Pending</x:v>
      </x:c>
      <x:c r="K18" s="30" t="str">
        <x:v>Pending</x:v>
      </x:c>
      <x:c r="L18" s="30" t="str">
        <x:v>Pending</x:v>
      </x:c>
      <x:c r="M18" s="30" t="str">
        <x:v>Pending</x:v>
      </x:c>
      <x:c r="N18" s="30" t="str">
        <x:f>IF(COUNTIF(G18:M18,"Blocked")&gt;0,"Blocked",IF(COUNTIF(G18:M18,"Done")+COUNTIF(G18:M18,"N/A")=7,"Complete",IF(COUNTIF(G18:M18,"Done")&gt;0,"In Progress","Not Started")))</x:f>
        <x:v>Not Started</x:v>
      </x:c>
      <x:c r="O18" s="30" t="str">
        <x:f>IF(N18="Complete","Done",IF(G18&lt;&gt;"Done","Jeppy / Marketing",IF(H18&lt;&gt;"Done","Jeppy / Marketing",IF(I18&lt;&gt;"Done","Creative",IF(J18&lt;&gt;"Done","Creative",IF(K18&lt;&gt;"Done","Malik / VM",IF(L18&lt;&gt;"Done","Erlin / Retail Ops",IF(M18&lt;&gt;"Done","Store PIC / Retail Ops","Done"))))))))</x:f>
        <x:v>Jeppy / Marketing</x:v>
      </x:c>
      <x:c r="P18" s="30" t="str">
        <x:f>IF(N18="Complete","No further action",IF(G18&lt;&gt;"Done","Provide official QR for this store",IF(H18&lt;&gt;"Done","Scan QR and verify store name",IF(I18&lt;&gt;"Done","Send QR to Creative",IF(J18&lt;&gt;"Done","Finalize artwork",IF(K18&lt;&gt;"Done","Approve VM placement",IF(L18&lt;&gt;"Done","Install at store",IF(M18&lt;&gt;"Done","Perform final scan test","No further action"))))))))</x:f>
        <x:v>Provide official QR for this store</x:v>
      </x:c>
      <x:c r="Q18" s="30" t="str">
        <x:v>Normal</x:v>
      </x:c>
      <x:c r="R18" s="29"/>
      <x:c r="S18" s="28" t="str"/>
      <x:c r="T18" s="29"/>
    </x:row>
    <x:row r="19" ht="25" hidden="0" customHeight="1">
      <x:c r="B19" s="31" t="n">
        <x:v>7</x:v>
      </x:c>
      <x:c r="C19" s="28" t="str">
        <x:v>Ujung Raya Street</x:v>
      </x:c>
      <x:c r="D19" s="28" t="str">
        <x:v>Bali Area</x:v>
      </x:c>
      <x:c r="E19" s="28" t="str">
        <x:v>Jasri</x:v>
      </x:c>
      <x:c r="F19" s="28" t="str">
        <x:v>Jeppy / Marketing</x:v>
      </x:c>
      <x:c r="G19" s="30" t="str">
        <x:v>Pending</x:v>
      </x:c>
      <x:c r="H19" s="30" t="str">
        <x:v>Pending</x:v>
      </x:c>
      <x:c r="I19" s="30" t="str">
        <x:v>Pending</x:v>
      </x:c>
      <x:c r="J19" s="30" t="str">
        <x:v>Pending</x:v>
      </x:c>
      <x:c r="K19" s="30" t="str">
        <x:v>Pending</x:v>
      </x:c>
      <x:c r="L19" s="30" t="str">
        <x:v>Pending</x:v>
      </x:c>
      <x:c r="M19" s="30" t="str">
        <x:v>Pending</x:v>
      </x:c>
      <x:c r="N19" s="30" t="str">
        <x:f>IF(COUNTIF(G19:M19,"Blocked")&gt;0,"Blocked",IF(COUNTIF(G19:M19,"Done")+COUNTIF(G19:M19,"N/A")=7,"Complete",IF(COUNTIF(G19:M19,"Done")&gt;0,"In Progress","Not Started")))</x:f>
        <x:v>Not Started</x:v>
      </x:c>
      <x:c r="O19" s="30" t="str">
        <x:f>IF(N19="Complete","Done",IF(G19&lt;&gt;"Done","Jeppy / Marketing",IF(H19&lt;&gt;"Done","Jeppy / Marketing",IF(I19&lt;&gt;"Done","Creative",IF(J19&lt;&gt;"Done","Creative",IF(K19&lt;&gt;"Done","Malik / VM",IF(L19&lt;&gt;"Done","Erlin / Retail Ops",IF(M19&lt;&gt;"Done","Store PIC / Retail Ops","Done"))))))))</x:f>
        <x:v>Jeppy / Marketing</x:v>
      </x:c>
      <x:c r="P19" s="30" t="str">
        <x:f>IF(N19="Complete","No further action",IF(G19&lt;&gt;"Done","Provide official QR for this store",IF(H19&lt;&gt;"Done","Scan QR and verify store name",IF(I19&lt;&gt;"Done","Send QR to Creative",IF(J19&lt;&gt;"Done","Finalize artwork",IF(K19&lt;&gt;"Done","Approve VM placement",IF(L19&lt;&gt;"Done","Install at store",IF(M19&lt;&gt;"Done","Perform final scan test","No further action"))))))))</x:f>
        <x:v>Provide official QR for this store</x:v>
      </x:c>
      <x:c r="Q19" s="30" t="str">
        <x:v>Normal</x:v>
      </x:c>
      <x:c r="R19" s="29"/>
      <x:c r="S19" s="28" t="str"/>
      <x:c r="T19" s="29"/>
    </x:row>
    <x:row r="20" ht="25" hidden="0" customHeight="1">
      <x:c r="B20" s="31" t="n">
        <x:v>8</x:v>
      </x:c>
      <x:c r="C20" s="28" t="str">
        <x:v>Sidewalk Jimbaran</x:v>
      </x:c>
      <x:c r="D20" s="28" t="str">
        <x:v>Bali Area</x:v>
      </x:c>
      <x:c r="E20" s="28" t="str">
        <x:v>Jimbaran</x:v>
      </x:c>
      <x:c r="F20" s="28" t="str">
        <x:v>Jeppy / Marketing</x:v>
      </x:c>
      <x:c r="G20" s="30" t="str">
        <x:v>Pending</x:v>
      </x:c>
      <x:c r="H20" s="30" t="str">
        <x:v>Pending</x:v>
      </x:c>
      <x:c r="I20" s="30" t="str">
        <x:v>Pending</x:v>
      </x:c>
      <x:c r="J20" s="30" t="str">
        <x:v>Pending</x:v>
      </x:c>
      <x:c r="K20" s="30" t="str">
        <x:v>Pending</x:v>
      </x:c>
      <x:c r="L20" s="30" t="str">
        <x:v>Pending</x:v>
      </x:c>
      <x:c r="M20" s="30" t="str">
        <x:v>Pending</x:v>
      </x:c>
      <x:c r="N20" s="30" t="str">
        <x:f>IF(COUNTIF(G20:M20,"Blocked")&gt;0,"Blocked",IF(COUNTIF(G20:M20,"Done")+COUNTIF(G20:M20,"N/A")=7,"Complete",IF(COUNTIF(G20:M20,"Done")&gt;0,"In Progress","Not Started")))</x:f>
        <x:v>Not Started</x:v>
      </x:c>
      <x:c r="O20" s="30" t="str">
        <x:f>IF(N20="Complete","Done",IF(G20&lt;&gt;"Done","Jeppy / Marketing",IF(H20&lt;&gt;"Done","Jeppy / Marketing",IF(I20&lt;&gt;"Done","Creative",IF(J20&lt;&gt;"Done","Creative",IF(K20&lt;&gt;"Done","Malik / VM",IF(L20&lt;&gt;"Done","Erlin / Retail Ops",IF(M20&lt;&gt;"Done","Store PIC / Retail Ops","Done"))))))))</x:f>
        <x:v>Jeppy / Marketing</x:v>
      </x:c>
      <x:c r="P20" s="30" t="str">
        <x:f>IF(N20="Complete","No further action",IF(G20&lt;&gt;"Done","Provide official QR for this store",IF(H20&lt;&gt;"Done","Scan QR and verify store name",IF(I20&lt;&gt;"Done","Send QR to Creative",IF(J20&lt;&gt;"Done","Finalize artwork",IF(K20&lt;&gt;"Done","Approve VM placement",IF(L20&lt;&gt;"Done","Install at store",IF(M20&lt;&gt;"Done","Perform final scan test","No further action"))))))))</x:f>
        <x:v>Provide official QR for this store</x:v>
      </x:c>
      <x:c r="Q20" s="30" t="str">
        <x:v>Normal</x:v>
      </x:c>
      <x:c r="R20" s="29"/>
      <x:c r="S20" s="28" t="str"/>
      <x:c r="T20" s="29"/>
    </x:row>
    <x:row r="21" ht="25" hidden="0" customHeight="1">
      <x:c r="B21" s="31" t="n">
        <x:v>9</x:v>
      </x:c>
      <x:c r="C21" s="28" t="str">
        <x:v>Beachwalk Shopping Center</x:v>
      </x:c>
      <x:c r="D21" s="28" t="str">
        <x:v>Bali Area</x:v>
      </x:c>
      <x:c r="E21" s="28" t="str">
        <x:v>Kuta</x:v>
      </x:c>
      <x:c r="F21" s="28" t="str">
        <x:v>Jeppy / Marketing</x:v>
      </x:c>
      <x:c r="G21" s="30" t="str">
        <x:v>Pending</x:v>
      </x:c>
      <x:c r="H21" s="30" t="str">
        <x:v>Pending</x:v>
      </x:c>
      <x:c r="I21" s="30" t="str">
        <x:v>Pending</x:v>
      </x:c>
      <x:c r="J21" s="30" t="str">
        <x:v>Pending</x:v>
      </x:c>
      <x:c r="K21" s="30" t="str">
        <x:v>Pending</x:v>
      </x:c>
      <x:c r="L21" s="30" t="str">
        <x:v>Pending</x:v>
      </x:c>
      <x:c r="M21" s="30" t="str">
        <x:v>Pending</x:v>
      </x:c>
      <x:c r="N21" s="30" t="str">
        <x:f>IF(COUNTIF(G21:M21,"Blocked")&gt;0,"Blocked",IF(COUNTIF(G21:M21,"Done")+COUNTIF(G21:M21,"N/A")=7,"Complete",IF(COUNTIF(G21:M21,"Done")&gt;0,"In Progress","Not Started")))</x:f>
        <x:v>Not Started</x:v>
      </x:c>
      <x:c r="O21" s="30" t="str">
        <x:f>IF(N21="Complete","Done",IF(G21&lt;&gt;"Done","Jeppy / Marketing",IF(H21&lt;&gt;"Done","Jeppy / Marketing",IF(I21&lt;&gt;"Done","Creative",IF(J21&lt;&gt;"Done","Creative",IF(K21&lt;&gt;"Done","Malik / VM",IF(L21&lt;&gt;"Done","Erlin / Retail Ops",IF(M21&lt;&gt;"Done","Store PIC / Retail Ops","Done"))))))))</x:f>
        <x:v>Jeppy / Marketing</x:v>
      </x:c>
      <x:c r="P21" s="30" t="str">
        <x:f>IF(N21="Complete","No further action",IF(G21&lt;&gt;"Done","Provide official QR for this store",IF(H21&lt;&gt;"Done","Scan QR and verify store name",IF(I21&lt;&gt;"Done","Send QR to Creative",IF(J21&lt;&gt;"Done","Finalize artwork",IF(K21&lt;&gt;"Done","Approve VM placement",IF(L21&lt;&gt;"Done","Install at store",IF(M21&lt;&gt;"Done","Perform final scan test","No further action"))))))))</x:f>
        <x:v>Provide official QR for this store</x:v>
      </x:c>
      <x:c r="Q21" s="30" t="str">
        <x:v>Normal</x:v>
      </x:c>
      <x:c r="R21" s="29"/>
      <x:c r="S21" s="28" t="str"/>
      <x:c r="T21" s="29"/>
    </x:row>
    <x:row r="22" ht="25" hidden="0" customHeight="1">
      <x:c r="B22" s="31" t="n">
        <x:v>10</x:v>
      </x:c>
      <x:c r="C22" s="28" t="str">
        <x:v>Discovery Shopping Mall</x:v>
      </x:c>
      <x:c r="D22" s="28" t="str">
        <x:v>Bali Area</x:v>
      </x:c>
      <x:c r="E22" s="28" t="str">
        <x:v>Kuta</x:v>
      </x:c>
      <x:c r="F22" s="28" t="str">
        <x:v>Jeppy / Marketing</x:v>
      </x:c>
      <x:c r="G22" s="30" t="str">
        <x:v>Pending</x:v>
      </x:c>
      <x:c r="H22" s="30" t="str">
        <x:v>Pending</x:v>
      </x:c>
      <x:c r="I22" s="30" t="str">
        <x:v>Pending</x:v>
      </x:c>
      <x:c r="J22" s="30" t="str">
        <x:v>Pending</x:v>
      </x:c>
      <x:c r="K22" s="30" t="str">
        <x:v>Pending</x:v>
      </x:c>
      <x:c r="L22" s="30" t="str">
        <x:v>Pending</x:v>
      </x:c>
      <x:c r="M22" s="30" t="str">
        <x:v>Pending</x:v>
      </x:c>
      <x:c r="N22" s="30" t="str">
        <x:f>IF(COUNTIF(G22:M22,"Blocked")&gt;0,"Blocked",IF(COUNTIF(G22:M22,"Done")+COUNTIF(G22:M22,"N/A")=7,"Complete",IF(COUNTIF(G22:M22,"Done")&gt;0,"In Progress","Not Started")))</x:f>
        <x:v>Not Started</x:v>
      </x:c>
      <x:c r="O22" s="30" t="str">
        <x:f>IF(N22="Complete","Done",IF(G22&lt;&gt;"Done","Jeppy / Marketing",IF(H22&lt;&gt;"Done","Jeppy / Marketing",IF(I22&lt;&gt;"Done","Creative",IF(J22&lt;&gt;"Done","Creative",IF(K22&lt;&gt;"Done","Malik / VM",IF(L22&lt;&gt;"Done","Erlin / Retail Ops",IF(M22&lt;&gt;"Done","Store PIC / Retail Ops","Done"))))))))</x:f>
        <x:v>Jeppy / Marketing</x:v>
      </x:c>
      <x:c r="P22" s="30" t="str">
        <x:f>IF(N22="Complete","No further action",IF(G22&lt;&gt;"Done","Provide official QR for this store",IF(H22&lt;&gt;"Done","Scan QR and verify store name",IF(I22&lt;&gt;"Done","Send QR to Creative",IF(J22&lt;&gt;"Done","Finalize artwork",IF(K22&lt;&gt;"Done","Approve VM placement",IF(L22&lt;&gt;"Done","Install at store",IF(M22&lt;&gt;"Done","Perform final scan test","No further action"))))))))</x:f>
        <x:v>Provide official QR for this store</x:v>
      </x:c>
      <x:c r="Q22" s="30" t="str">
        <x:v>Normal</x:v>
      </x:c>
      <x:c r="R22" s="29"/>
      <x:c r="S22" s="28" t="str"/>
      <x:c r="T22" s="29"/>
    </x:row>
    <x:row r="23" ht="25" hidden="0" customHeight="1">
      <x:c r="B23" s="31" t="n">
        <x:v>11</x:v>
      </x:c>
      <x:c r="C23" s="28" t="str">
        <x:v>Legian Street</x:v>
      </x:c>
      <x:c r="D23" s="28" t="str">
        <x:v>Bali Area</x:v>
      </x:c>
      <x:c r="E23" s="28" t="str">
        <x:v>Kuta</x:v>
      </x:c>
      <x:c r="F23" s="28" t="str">
        <x:v>Jeppy / Marketing</x:v>
      </x:c>
      <x:c r="G23" s="30" t="str">
        <x:v>Pending</x:v>
      </x:c>
      <x:c r="H23" s="30" t="str">
        <x:v>Pending</x:v>
      </x:c>
      <x:c r="I23" s="30" t="str">
        <x:v>Pending</x:v>
      </x:c>
      <x:c r="J23" s="30" t="str">
        <x:v>Pending</x:v>
      </x:c>
      <x:c r="K23" s="30" t="str">
        <x:v>Pending</x:v>
      </x:c>
      <x:c r="L23" s="30" t="str">
        <x:v>Pending</x:v>
      </x:c>
      <x:c r="M23" s="30" t="str">
        <x:v>Pending</x:v>
      </x:c>
      <x:c r="N23" s="30" t="str">
        <x:f>IF(COUNTIF(G23:M23,"Blocked")&gt;0,"Blocked",IF(COUNTIF(G23:M23,"Done")+COUNTIF(G23:M23,"N/A")=7,"Complete",IF(COUNTIF(G23:M23,"Done")&gt;0,"In Progress","Not Started")))</x:f>
        <x:v>Not Started</x:v>
      </x:c>
      <x:c r="O23" s="30" t="str">
        <x:f>IF(N23="Complete","Done",IF(G23&lt;&gt;"Done","Jeppy / Marketing",IF(H23&lt;&gt;"Done","Jeppy / Marketing",IF(I23&lt;&gt;"Done","Creative",IF(J23&lt;&gt;"Done","Creative",IF(K23&lt;&gt;"Done","Malik / VM",IF(L23&lt;&gt;"Done","Erlin / Retail Ops",IF(M23&lt;&gt;"Done","Store PIC / Retail Ops","Done"))))))))</x:f>
        <x:v>Jeppy / Marketing</x:v>
      </x:c>
      <x:c r="P23" s="30" t="str">
        <x:f>IF(N23="Complete","No further action",IF(G23&lt;&gt;"Done","Provide official QR for this store",IF(H23&lt;&gt;"Done","Scan QR and verify store name",IF(I23&lt;&gt;"Done","Send QR to Creative",IF(J23&lt;&gt;"Done","Finalize artwork",IF(K23&lt;&gt;"Done","Approve VM placement",IF(L23&lt;&gt;"Done","Install at store",IF(M23&lt;&gt;"Done","Perform final scan test","No further action"))))))))</x:f>
        <x:v>Provide official QR for this store</x:v>
      </x:c>
      <x:c r="Q23" s="30" t="str">
        <x:v>Normal</x:v>
      </x:c>
      <x:c r="R23" s="29"/>
      <x:c r="S23" s="28" t="str"/>
      <x:c r="T23" s="29"/>
    </x:row>
    <x:row r="24" ht="25" hidden="0" customHeight="1">
      <x:c r="B24" s="31" t="n">
        <x:v>12</x:v>
      </x:c>
      <x:c r="C24" s="28" t="str">
        <x:v>Mal Bali Galeria Extension</x:v>
      </x:c>
      <x:c r="D24" s="28" t="str">
        <x:v>Bali Area</x:v>
      </x:c>
      <x:c r="E24" s="28" t="str">
        <x:v>Kuta</x:v>
      </x:c>
      <x:c r="F24" s="28" t="str">
        <x:v>Jeppy / Marketing</x:v>
      </x:c>
      <x:c r="G24" s="30" t="str">
        <x:v>Pending</x:v>
      </x:c>
      <x:c r="H24" s="30" t="str">
        <x:v>Pending</x:v>
      </x:c>
      <x:c r="I24" s="30" t="str">
        <x:v>Pending</x:v>
      </x:c>
      <x:c r="J24" s="30" t="str">
        <x:v>Pending</x:v>
      </x:c>
      <x:c r="K24" s="30" t="str">
        <x:v>Pending</x:v>
      </x:c>
      <x:c r="L24" s="30" t="str">
        <x:v>Pending</x:v>
      </x:c>
      <x:c r="M24" s="30" t="str">
        <x:v>Pending</x:v>
      </x:c>
      <x:c r="N24" s="30" t="str">
        <x:f>IF(COUNTIF(G24:M24,"Blocked")&gt;0,"Blocked",IF(COUNTIF(G24:M24,"Done")+COUNTIF(G24:M24,"N/A")=7,"Complete",IF(COUNTIF(G24:M24,"Done")&gt;0,"In Progress","Not Started")))</x:f>
        <x:v>Not Started</x:v>
      </x:c>
      <x:c r="O24" s="30" t="str">
        <x:f>IF(N24="Complete","Done",IF(G24&lt;&gt;"Done","Jeppy / Marketing",IF(H24&lt;&gt;"Done","Jeppy / Marketing",IF(I24&lt;&gt;"Done","Creative",IF(J24&lt;&gt;"Done","Creative",IF(K24&lt;&gt;"Done","Malik / VM",IF(L24&lt;&gt;"Done","Erlin / Retail Ops",IF(M24&lt;&gt;"Done","Store PIC / Retail Ops","Done"))))))))</x:f>
        <x:v>Jeppy / Marketing</x:v>
      </x:c>
      <x:c r="P24" s="30" t="str">
        <x:f>IF(N24="Complete","No further action",IF(G24&lt;&gt;"Done","Provide official QR for this store",IF(H24&lt;&gt;"Done","Scan QR and verify store name",IF(I24&lt;&gt;"Done","Send QR to Creative",IF(J24&lt;&gt;"Done","Finalize artwork",IF(K24&lt;&gt;"Done","Approve VM placement",IF(L24&lt;&gt;"Done","Install at store",IF(M24&lt;&gt;"Done","Perform final scan test","No further action"))))))))</x:f>
        <x:v>Provide official QR for this store</x:v>
      </x:c>
      <x:c r="Q24" s="30" t="str">
        <x:v>Normal</x:v>
      </x:c>
      <x:c r="R24" s="29"/>
      <x:c r="S24" s="28" t="str"/>
      <x:c r="T24" s="29"/>
    </x:row>
    <x:row r="25" ht="25" hidden="0" customHeight="1">
      <x:c r="B25" s="31" t="n">
        <x:v>13</x:v>
      </x:c>
      <x:c r="C25" s="28" t="str">
        <x:v>Papaya Fresh Gallery</x:v>
      </x:c>
      <x:c r="D25" s="28" t="str">
        <x:v>Bali Area</x:v>
      </x:c>
      <x:c r="E25" s="28" t="str">
        <x:v>Kuta</x:v>
      </x:c>
      <x:c r="F25" s="28" t="str">
        <x:v>Jeppy / Marketing</x:v>
      </x:c>
      <x:c r="G25" s="30" t="str">
        <x:v>Pending</x:v>
      </x:c>
      <x:c r="H25" s="30" t="str">
        <x:v>Pending</x:v>
      </x:c>
      <x:c r="I25" s="30" t="str">
        <x:v>Pending</x:v>
      </x:c>
      <x:c r="J25" s="30" t="str">
        <x:v>Pending</x:v>
      </x:c>
      <x:c r="K25" s="30" t="str">
        <x:v>Pending</x:v>
      </x:c>
      <x:c r="L25" s="30" t="str">
        <x:v>Pending</x:v>
      </x:c>
      <x:c r="M25" s="30" t="str">
        <x:v>Pending</x:v>
      </x:c>
      <x:c r="N25" s="30" t="str">
        <x:f>IF(COUNTIF(G25:M25,"Blocked")&gt;0,"Blocked",IF(COUNTIF(G25:M25,"Done")+COUNTIF(G25:M25,"N/A")=7,"Complete",IF(COUNTIF(G25:M25,"Done")&gt;0,"In Progress","Not Started")))</x:f>
        <x:v>Not Started</x:v>
      </x:c>
      <x:c r="O25" s="30" t="str">
        <x:f>IF(N25="Complete","Done",IF(G25&lt;&gt;"Done","Jeppy / Marketing",IF(H25&lt;&gt;"Done","Jeppy / Marketing",IF(I25&lt;&gt;"Done","Creative",IF(J25&lt;&gt;"Done","Creative",IF(K25&lt;&gt;"Done","Malik / VM",IF(L25&lt;&gt;"Done","Erlin / Retail Ops",IF(M25&lt;&gt;"Done","Store PIC / Retail Ops","Done"))))))))</x:f>
        <x:v>Jeppy / Marketing</x:v>
      </x:c>
      <x:c r="P25" s="30" t="str">
        <x:f>IF(N25="Complete","No further action",IF(G25&lt;&gt;"Done","Provide official QR for this store",IF(H25&lt;&gt;"Done","Scan QR and verify store name",IF(I25&lt;&gt;"Done","Send QR to Creative",IF(J25&lt;&gt;"Done","Finalize artwork",IF(K25&lt;&gt;"Done","Approve VM placement",IF(L25&lt;&gt;"Done","Install at store",IF(M25&lt;&gt;"Done","Perform final scan test","No further action"))))))))</x:f>
        <x:v>Provide official QR for this store</x:v>
      </x:c>
      <x:c r="Q25" s="30" t="str">
        <x:v>Normal</x:v>
      </x:c>
      <x:c r="R25" s="29"/>
      <x:c r="S25" s="28" t="str"/>
      <x:c r="T25" s="29"/>
    </x:row>
    <x:row r="26" ht="25" hidden="0" customHeight="1">
      <x:c r="B26" s="31" t="n">
        <x:v>14</x:v>
      </x:c>
      <x:c r="C26" s="28" t="str">
        <x:v>Bali Collection</x:v>
      </x:c>
      <x:c r="D26" s="28" t="str">
        <x:v>Bali Area</x:v>
      </x:c>
      <x:c r="E26" s="28" t="str">
        <x:v>Nusa Dua</x:v>
      </x:c>
      <x:c r="F26" s="28" t="str">
        <x:v>Jeppy / Marketing</x:v>
      </x:c>
      <x:c r="G26" s="30" t="str">
        <x:v>Pending</x:v>
      </x:c>
      <x:c r="H26" s="30" t="str">
        <x:v>Pending</x:v>
      </x:c>
      <x:c r="I26" s="30" t="str">
        <x:v>Pending</x:v>
      </x:c>
      <x:c r="J26" s="30" t="str">
        <x:v>Pending</x:v>
      </x:c>
      <x:c r="K26" s="30" t="str">
        <x:v>Pending</x:v>
      </x:c>
      <x:c r="L26" s="30" t="str">
        <x:v>Pending</x:v>
      </x:c>
      <x:c r="M26" s="30" t="str">
        <x:v>Pending</x:v>
      </x:c>
      <x:c r="N26" s="30" t="str">
        <x:f>IF(COUNTIF(G26:M26,"Blocked")&gt;0,"Blocked",IF(COUNTIF(G26:M26,"Done")+COUNTIF(G26:M26,"N/A")=7,"Complete",IF(COUNTIF(G26:M26,"Done")&gt;0,"In Progress","Not Started")))</x:f>
        <x:v>Not Started</x:v>
      </x:c>
      <x:c r="O26" s="30" t="str">
        <x:f>IF(N26="Complete","Done",IF(G26&lt;&gt;"Done","Jeppy / Marketing",IF(H26&lt;&gt;"Done","Jeppy / Marketing",IF(I26&lt;&gt;"Done","Creative",IF(J26&lt;&gt;"Done","Creative",IF(K26&lt;&gt;"Done","Malik / VM",IF(L26&lt;&gt;"Done","Erlin / Retail Ops",IF(M26&lt;&gt;"Done","Store PIC / Retail Ops","Done"))))))))</x:f>
        <x:v>Jeppy / Marketing</x:v>
      </x:c>
      <x:c r="P26" s="30" t="str">
        <x:f>IF(N26="Complete","No further action",IF(G26&lt;&gt;"Done","Provide official QR for this store",IF(H26&lt;&gt;"Done","Scan QR and verify store name",IF(I26&lt;&gt;"Done","Send QR to Creative",IF(J26&lt;&gt;"Done","Finalize artwork",IF(K26&lt;&gt;"Done","Approve VM placement",IF(L26&lt;&gt;"Done","Install at store",IF(M26&lt;&gt;"Done","Perform final scan test","No further action"))))))))</x:f>
        <x:v>Provide official QR for this store</x:v>
      </x:c>
      <x:c r="Q26" s="30" t="str">
        <x:v>Normal</x:v>
      </x:c>
      <x:c r="R26" s="29"/>
      <x:c r="S26" s="28" t="str"/>
      <x:c r="T26" s="29"/>
    </x:row>
    <x:row r="27" ht="25" hidden="0" customHeight="1">
      <x:c r="B27" s="31" t="n">
        <x:v>15</x:v>
      </x:c>
      <x:c r="C27" s="28" t="str">
        <x:v>Danau Tamblingan Street</x:v>
      </x:c>
      <x:c r="D27" s="28" t="str">
        <x:v>Bali Area</x:v>
      </x:c>
      <x:c r="E27" s="28" t="str">
        <x:v>Sanur</x:v>
      </x:c>
      <x:c r="F27" s="28" t="str">
        <x:v>Jeppy / Marketing</x:v>
      </x:c>
      <x:c r="G27" s="30" t="str">
        <x:v>Pending</x:v>
      </x:c>
      <x:c r="H27" s="30" t="str">
        <x:v>Pending</x:v>
      </x:c>
      <x:c r="I27" s="30" t="str">
        <x:v>Pending</x:v>
      </x:c>
      <x:c r="J27" s="30" t="str">
        <x:v>Pending</x:v>
      </x:c>
      <x:c r="K27" s="30" t="str">
        <x:v>Pending</x:v>
      </x:c>
      <x:c r="L27" s="30" t="str">
        <x:v>Pending</x:v>
      </x:c>
      <x:c r="M27" s="30" t="str">
        <x:v>Pending</x:v>
      </x:c>
      <x:c r="N27" s="30" t="str">
        <x:f>IF(COUNTIF(G27:M27,"Blocked")&gt;0,"Blocked",IF(COUNTIF(G27:M27,"Done")+COUNTIF(G27:M27,"N/A")=7,"Complete",IF(COUNTIF(G27:M27,"Done")&gt;0,"In Progress","Not Started")))</x:f>
        <x:v>Not Started</x:v>
      </x:c>
      <x:c r="O27" s="30" t="str">
        <x:f>IF(N27="Complete","Done",IF(G27&lt;&gt;"Done","Jeppy / Marketing",IF(H27&lt;&gt;"Done","Jeppy / Marketing",IF(I27&lt;&gt;"Done","Creative",IF(J27&lt;&gt;"Done","Creative",IF(K27&lt;&gt;"Done","Malik / VM",IF(L27&lt;&gt;"Done","Erlin / Retail Ops",IF(M27&lt;&gt;"Done","Store PIC / Retail Ops","Done"))))))))</x:f>
        <x:v>Jeppy / Marketing</x:v>
      </x:c>
      <x:c r="P27" s="30" t="str">
        <x:f>IF(N27="Complete","No further action",IF(G27&lt;&gt;"Done","Provide official QR for this store",IF(H27&lt;&gt;"Done","Scan QR and verify store name",IF(I27&lt;&gt;"Done","Send QR to Creative",IF(J27&lt;&gt;"Done","Finalize artwork",IF(K27&lt;&gt;"Done","Approve VM placement",IF(L27&lt;&gt;"Done","Install at store",IF(M27&lt;&gt;"Done","Perform final scan test","No further action"))))))))</x:f>
        <x:v>Provide official QR for this store</x:v>
      </x:c>
      <x:c r="Q27" s="30" t="str">
        <x:v>Normal</x:v>
      </x:c>
      <x:c r="R27" s="29"/>
      <x:c r="S27" s="28" t="str"/>
      <x:c r="T27" s="29"/>
    </x:row>
    <x:row r="28" ht="25" hidden="0" customHeight="1">
      <x:c r="B28" s="31" t="n">
        <x:v>16</x:v>
      </x:c>
      <x:c r="C28" s="28" t="str">
        <x:v>ICON BALI</x:v>
      </x:c>
      <x:c r="D28" s="28" t="str">
        <x:v>Bali Area</x:v>
      </x:c>
      <x:c r="E28" s="28" t="str">
        <x:v>Sanur</x:v>
      </x:c>
      <x:c r="F28" s="28" t="str">
        <x:v>Jeppy / Marketing</x:v>
      </x:c>
      <x:c r="G28" s="30" t="str">
        <x:v>Pending</x:v>
      </x:c>
      <x:c r="H28" s="30" t="str">
        <x:v>Pending</x:v>
      </x:c>
      <x:c r="I28" s="30" t="str">
        <x:v>Pending</x:v>
      </x:c>
      <x:c r="J28" s="30" t="str">
        <x:v>Pending</x:v>
      </x:c>
      <x:c r="K28" s="30" t="str">
        <x:v>Pending</x:v>
      </x:c>
      <x:c r="L28" s="30" t="str">
        <x:v>Pending</x:v>
      </x:c>
      <x:c r="M28" s="30" t="str">
        <x:v>Pending</x:v>
      </x:c>
      <x:c r="N28" s="30" t="str">
        <x:f>IF(COUNTIF(G28:M28,"Blocked")&gt;0,"Blocked",IF(COUNTIF(G28:M28,"Done")+COUNTIF(G28:M28,"N/A")=7,"Complete",IF(COUNTIF(G28:M28,"Done")&gt;0,"In Progress","Not Started")))</x:f>
        <x:v>Not Started</x:v>
      </x:c>
      <x:c r="O28" s="30" t="str">
        <x:f>IF(N28="Complete","Done",IF(G28&lt;&gt;"Done","Jeppy / Marketing",IF(H28&lt;&gt;"Done","Jeppy / Marketing",IF(I28&lt;&gt;"Done","Creative",IF(J28&lt;&gt;"Done","Creative",IF(K28&lt;&gt;"Done","Malik / VM",IF(L28&lt;&gt;"Done","Erlin / Retail Ops",IF(M28&lt;&gt;"Done","Store PIC / Retail Ops","Done"))))))))</x:f>
        <x:v>Jeppy / Marketing</x:v>
      </x:c>
      <x:c r="P28" s="30" t="str">
        <x:f>IF(N28="Complete","No further action",IF(G28&lt;&gt;"Done","Provide official QR for this store",IF(H28&lt;&gt;"Done","Scan QR and verify store name",IF(I28&lt;&gt;"Done","Send QR to Creative",IF(J28&lt;&gt;"Done","Finalize artwork",IF(K28&lt;&gt;"Done","Approve VM placement",IF(L28&lt;&gt;"Done","Install at store",IF(M28&lt;&gt;"Done","Perform final scan test","No further action"))))))))</x:f>
        <x:v>Provide official QR for this store</x:v>
      </x:c>
      <x:c r="Q28" s="30" t="str">
        <x:v>Normal</x:v>
      </x:c>
      <x:c r="R28" s="29"/>
      <x:c r="S28" s="28" t="str"/>
      <x:c r="T28" s="29"/>
    </x:row>
    <x:row r="29" ht="25" hidden="0" customHeight="1">
      <x:c r="B29" s="31" t="n">
        <x:v>17</x:v>
      </x:c>
      <x:c r="C29" s="28" t="str">
        <x:v>Seminyak Village</x:v>
      </x:c>
      <x:c r="D29" s="28" t="str">
        <x:v>Bali Area</x:v>
      </x:c>
      <x:c r="E29" s="28" t="str">
        <x:v>Seminyak</x:v>
      </x:c>
      <x:c r="F29" s="28" t="str">
        <x:v>Jeppy / Marketing</x:v>
      </x:c>
      <x:c r="G29" s="30" t="str">
        <x:v>Pending</x:v>
      </x:c>
      <x:c r="H29" s="30" t="str">
        <x:v>Pending</x:v>
      </x:c>
      <x:c r="I29" s="30" t="str">
        <x:v>Pending</x:v>
      </x:c>
      <x:c r="J29" s="30" t="str">
        <x:v>Pending</x:v>
      </x:c>
      <x:c r="K29" s="30" t="str">
        <x:v>Pending</x:v>
      </x:c>
      <x:c r="L29" s="30" t="str">
        <x:v>Pending</x:v>
      </x:c>
      <x:c r="M29" s="30" t="str">
        <x:v>Pending</x:v>
      </x:c>
      <x:c r="N29" s="30" t="str">
        <x:f>IF(COUNTIF(G29:M29,"Blocked")&gt;0,"Blocked",IF(COUNTIF(G29:M29,"Done")+COUNTIF(G29:M29,"N/A")=7,"Complete",IF(COUNTIF(G29:M29,"Done")&gt;0,"In Progress","Not Started")))</x:f>
        <x:v>Not Started</x:v>
      </x:c>
      <x:c r="O29" s="30" t="str">
        <x:f>IF(N29="Complete","Done",IF(G29&lt;&gt;"Done","Jeppy / Marketing",IF(H29&lt;&gt;"Done","Jeppy / Marketing",IF(I29&lt;&gt;"Done","Creative",IF(J29&lt;&gt;"Done","Creative",IF(K29&lt;&gt;"Done","Malik / VM",IF(L29&lt;&gt;"Done","Erlin / Retail Ops",IF(M29&lt;&gt;"Done","Store PIC / Retail Ops","Done"))))))))</x:f>
        <x:v>Jeppy / Marketing</x:v>
      </x:c>
      <x:c r="P29" s="30" t="str">
        <x:f>IF(N29="Complete","No further action",IF(G29&lt;&gt;"Done","Provide official QR for this store",IF(H29&lt;&gt;"Done","Scan QR and verify store name",IF(I29&lt;&gt;"Done","Send QR to Creative",IF(J29&lt;&gt;"Done","Finalize artwork",IF(K29&lt;&gt;"Done","Approve VM placement",IF(L29&lt;&gt;"Done","Install at store",IF(M29&lt;&gt;"Done","Perform final scan test","No further action"))))))))</x:f>
        <x:v>Provide official QR for this store</x:v>
      </x:c>
      <x:c r="Q29" s="30" t="str">
        <x:v>Normal</x:v>
      </x:c>
      <x:c r="R29" s="29"/>
      <x:c r="S29" s="28" t="str"/>
      <x:c r="T29" s="29"/>
    </x:row>
    <x:row r="30" ht="25" hidden="0" customHeight="1">
      <x:c r="B30" s="31" t="n">
        <x:v>18</x:v>
      </x:c>
      <x:c r="C30" s="28" t="str">
        <x:v>Monkey Forest Road</x:v>
      </x:c>
      <x:c r="D30" s="28" t="str">
        <x:v>Bali Area</x:v>
      </x:c>
      <x:c r="E30" s="28" t="str">
        <x:v>Ubud</x:v>
      </x:c>
      <x:c r="F30" s="28" t="str">
        <x:v>Jeppy / Marketing</x:v>
      </x:c>
      <x:c r="G30" s="30" t="str">
        <x:v>Pending</x:v>
      </x:c>
      <x:c r="H30" s="30" t="str">
        <x:v>Pending</x:v>
      </x:c>
      <x:c r="I30" s="30" t="str">
        <x:v>Pending</x:v>
      </x:c>
      <x:c r="J30" s="30" t="str">
        <x:v>Pending</x:v>
      </x:c>
      <x:c r="K30" s="30" t="str">
        <x:v>Pending</x:v>
      </x:c>
      <x:c r="L30" s="30" t="str">
        <x:v>Pending</x:v>
      </x:c>
      <x:c r="M30" s="30" t="str">
        <x:v>Pending</x:v>
      </x:c>
      <x:c r="N30" s="30" t="str">
        <x:f>IF(COUNTIF(G30:M30,"Blocked")&gt;0,"Blocked",IF(COUNTIF(G30:M30,"Done")+COUNTIF(G30:M30,"N/A")=7,"Complete",IF(COUNTIF(G30:M30,"Done")&gt;0,"In Progress","Not Started")))</x:f>
        <x:v>Not Started</x:v>
      </x:c>
      <x:c r="O30" s="30" t="str">
        <x:f>IF(N30="Complete","Done",IF(G30&lt;&gt;"Done","Jeppy / Marketing",IF(H30&lt;&gt;"Done","Jeppy / Marketing",IF(I30&lt;&gt;"Done","Creative",IF(J30&lt;&gt;"Done","Creative",IF(K30&lt;&gt;"Done","Malik / VM",IF(L30&lt;&gt;"Done","Erlin / Retail Ops",IF(M30&lt;&gt;"Done","Store PIC / Retail Ops","Done"))))))))</x:f>
        <x:v>Jeppy / Marketing</x:v>
      </x:c>
      <x:c r="P30" s="30" t="str">
        <x:f>IF(N30="Complete","No further action",IF(G30&lt;&gt;"Done","Provide official QR for this store",IF(H30&lt;&gt;"Done","Scan QR and verify store name",IF(I30&lt;&gt;"Done","Send QR to Creative",IF(J30&lt;&gt;"Done","Finalize artwork",IF(K30&lt;&gt;"Done","Approve VM placement",IF(L30&lt;&gt;"Done","Install at store",IF(M30&lt;&gt;"Done","Perform final scan test","No further action"))))))))</x:f>
        <x:v>Provide official QR for this store</x:v>
      </x:c>
      <x:c r="Q30" s="30" t="str">
        <x:v>Normal</x:v>
      </x:c>
      <x:c r="R30" s="29"/>
      <x:c r="S30" s="28" t="str"/>
      <x:c r="T30" s="29"/>
    </x:row>
    <x:row r="31" ht="25" hidden="0" customHeight="1">
      <x:c r="B31" s="31" t="n">
        <x:v>19</x:v>
      </x:c>
      <x:c r="C31" s="28" t="str">
        <x:v>Monkey Forest Road II</x:v>
      </x:c>
      <x:c r="D31" s="28" t="str">
        <x:v>Bali Area</x:v>
      </x:c>
      <x:c r="E31" s="28" t="str">
        <x:v>Ubud</x:v>
      </x:c>
      <x:c r="F31" s="28" t="str">
        <x:v>Jeppy / Marketing</x:v>
      </x:c>
      <x:c r="G31" s="30" t="str">
        <x:v>Pending</x:v>
      </x:c>
      <x:c r="H31" s="30" t="str">
        <x:v>Pending</x:v>
      </x:c>
      <x:c r="I31" s="30" t="str">
        <x:v>Pending</x:v>
      </x:c>
      <x:c r="J31" s="30" t="str">
        <x:v>Pending</x:v>
      </x:c>
      <x:c r="K31" s="30" t="str">
        <x:v>Pending</x:v>
      </x:c>
      <x:c r="L31" s="30" t="str">
        <x:v>Pending</x:v>
      </x:c>
      <x:c r="M31" s="30" t="str">
        <x:v>Pending</x:v>
      </x:c>
      <x:c r="N31" s="30" t="str">
        <x:f>IF(COUNTIF(G31:M31,"Blocked")&gt;0,"Blocked",IF(COUNTIF(G31:M31,"Done")+COUNTIF(G31:M31,"N/A")=7,"Complete",IF(COUNTIF(G31:M31,"Done")&gt;0,"In Progress","Not Started")))</x:f>
        <x:v>Not Started</x:v>
      </x:c>
      <x:c r="O31" s="30" t="str">
        <x:f>IF(N31="Complete","Done",IF(G31&lt;&gt;"Done","Jeppy / Marketing",IF(H31&lt;&gt;"Done","Jeppy / Marketing",IF(I31&lt;&gt;"Done","Creative",IF(J31&lt;&gt;"Done","Creative",IF(K31&lt;&gt;"Done","Malik / VM",IF(L31&lt;&gt;"Done","Erlin / Retail Ops",IF(M31&lt;&gt;"Done","Store PIC / Retail Ops","Done"))))))))</x:f>
        <x:v>Jeppy / Marketing</x:v>
      </x:c>
      <x:c r="P31" s="30" t="str">
        <x:f>IF(N31="Complete","No further action",IF(G31&lt;&gt;"Done","Provide official QR for this store",IF(H31&lt;&gt;"Done","Scan QR and verify store name",IF(I31&lt;&gt;"Done","Send QR to Creative",IF(J31&lt;&gt;"Done","Finalize artwork",IF(K31&lt;&gt;"Done","Approve VM placement",IF(L31&lt;&gt;"Done","Install at store",IF(M31&lt;&gt;"Done","Perform final scan test","No further action"))))))))</x:f>
        <x:v>Provide official QR for this store</x:v>
      </x:c>
      <x:c r="Q31" s="30" t="str">
        <x:v>Normal</x:v>
      </x:c>
      <x:c r="R31" s="29"/>
      <x:c r="S31" s="28" t="str"/>
      <x:c r="T31" s="29"/>
    </x:row>
    <x:row r="32" ht="25" hidden="0" customHeight="1">
      <x:c r="B32" s="31" t="n">
        <x:v>20</x:v>
      </x:c>
      <x:c r="C32" s="28" t="str">
        <x:v>Central Market PIK</x:v>
      </x:c>
      <x:c r="D32" s="28" t="str">
        <x:v>Jakarta &amp; Sekitarnya (Jabodetabek)</x:v>
      </x:c>
      <x:c r="E32" s="28" t="str">
        <x:v>Jakarta</x:v>
      </x:c>
      <x:c r="F32" s="28" t="str">
        <x:v>Jeppy / Marketing</x:v>
      </x:c>
      <x:c r="G32" s="30" t="str">
        <x:v>Pending</x:v>
      </x:c>
      <x:c r="H32" s="30" t="str">
        <x:v>Pending</x:v>
      </x:c>
      <x:c r="I32" s="30" t="str">
        <x:v>Pending</x:v>
      </x:c>
      <x:c r="J32" s="30" t="str">
        <x:v>Pending</x:v>
      </x:c>
      <x:c r="K32" s="30" t="str">
        <x:v>Pending</x:v>
      </x:c>
      <x:c r="L32" s="30" t="str">
        <x:v>Pending</x:v>
      </x:c>
      <x:c r="M32" s="30" t="str">
        <x:v>Pending</x:v>
      </x:c>
      <x:c r="N32" s="30" t="str">
        <x:f>IF(COUNTIF(G32:M32,"Blocked")&gt;0,"Blocked",IF(COUNTIF(G32:M32,"Done")+COUNTIF(G32:M32,"N/A")=7,"Complete",IF(COUNTIF(G32:M32,"Done")&gt;0,"In Progress","Not Started")))</x:f>
        <x:v>Not Started</x:v>
      </x:c>
      <x:c r="O32" s="30" t="str">
        <x:f>IF(N32="Complete","Done",IF(G32&lt;&gt;"Done","Jeppy / Marketing",IF(H32&lt;&gt;"Done","Jeppy / Marketing",IF(I32&lt;&gt;"Done","Creative",IF(J32&lt;&gt;"Done","Creative",IF(K32&lt;&gt;"Done","Malik / VM",IF(L32&lt;&gt;"Done","Erlin / Retail Ops",IF(M32&lt;&gt;"Done","Store PIC / Retail Ops","Done"))))))))</x:f>
        <x:v>Jeppy / Marketing</x:v>
      </x:c>
      <x:c r="P32" s="30" t="str">
        <x:f>IF(N32="Complete","No further action",IF(G32&lt;&gt;"Done","Provide official QR for this store",IF(H32&lt;&gt;"Done","Scan QR and verify store name",IF(I32&lt;&gt;"Done","Send QR to Creative",IF(J32&lt;&gt;"Done","Finalize artwork",IF(K32&lt;&gt;"Done","Approve VM placement",IF(L32&lt;&gt;"Done","Install at store",IF(M32&lt;&gt;"Done","Perform final scan test","No further action"))))))))</x:f>
        <x:v>Provide official QR for this store</x:v>
      </x:c>
      <x:c r="Q32" s="30" t="str">
        <x:v>Normal</x:v>
      </x:c>
      <x:c r="R32" s="29"/>
      <x:c r="S32" s="28" t="str"/>
      <x:c r="T32" s="29"/>
    </x:row>
    <x:row r="33" ht="25" hidden="0" customHeight="1">
      <x:c r="B33" s="31" t="n">
        <x:v>21</x:v>
      </x:c>
      <x:c r="C33" s="28" t="str">
        <x:v>Central Park Mall</x:v>
      </x:c>
      <x:c r="D33" s="28" t="str">
        <x:v>Jakarta &amp; Sekitarnya (Jabodetabek)</x:v>
      </x:c>
      <x:c r="E33" s="28" t="str">
        <x:v>Jakarta</x:v>
      </x:c>
      <x:c r="F33" s="28" t="str">
        <x:v>Jeppy / Marketing</x:v>
      </x:c>
      <x:c r="G33" s="30" t="str">
        <x:v>Pending</x:v>
      </x:c>
      <x:c r="H33" s="30" t="str">
        <x:v>Pending</x:v>
      </x:c>
      <x:c r="I33" s="30" t="str">
        <x:v>Pending</x:v>
      </x:c>
      <x:c r="J33" s="30" t="str">
        <x:v>Pending</x:v>
      </x:c>
      <x:c r="K33" s="30" t="str">
        <x:v>Pending</x:v>
      </x:c>
      <x:c r="L33" s="30" t="str">
        <x:v>Pending</x:v>
      </x:c>
      <x:c r="M33" s="30" t="str">
        <x:v>Pending</x:v>
      </x:c>
      <x:c r="N33" s="30" t="str">
        <x:f>IF(COUNTIF(G33:M33,"Blocked")&gt;0,"Blocked",IF(COUNTIF(G33:M33,"Done")+COUNTIF(G33:M33,"N/A")=7,"Complete",IF(COUNTIF(G33:M33,"Done")&gt;0,"In Progress","Not Started")))</x:f>
        <x:v>Not Started</x:v>
      </x:c>
      <x:c r="O33" s="30" t="str">
        <x:f>IF(N33="Complete","Done",IF(G33&lt;&gt;"Done","Jeppy / Marketing",IF(H33&lt;&gt;"Done","Jeppy / Marketing",IF(I33&lt;&gt;"Done","Creative",IF(J33&lt;&gt;"Done","Creative",IF(K33&lt;&gt;"Done","Malik / VM",IF(L33&lt;&gt;"Done","Erlin / Retail Ops",IF(M33&lt;&gt;"Done","Store PIC / Retail Ops","Done"))))))))</x:f>
        <x:v>Jeppy / Marketing</x:v>
      </x:c>
      <x:c r="P33" s="30" t="str">
        <x:f>IF(N33="Complete","No further action",IF(G33&lt;&gt;"Done","Provide official QR for this store",IF(H33&lt;&gt;"Done","Scan QR and verify store name",IF(I33&lt;&gt;"Done","Send QR to Creative",IF(J33&lt;&gt;"Done","Finalize artwork",IF(K33&lt;&gt;"Done","Approve VM placement",IF(L33&lt;&gt;"Done","Install at store",IF(M33&lt;&gt;"Done","Perform final scan test","No further action"))))))))</x:f>
        <x:v>Provide official QR for this store</x:v>
      </x:c>
      <x:c r="Q33" s="30" t="str">
        <x:v>Normal</x:v>
      </x:c>
      <x:c r="R33" s="29"/>
      <x:c r="S33" s="28" t="str"/>
      <x:c r="T33" s="29"/>
    </x:row>
    <x:row r="34" ht="25" hidden="0" customHeight="1">
      <x:c r="B34" s="31" t="n">
        <x:v>22</x:v>
      </x:c>
      <x:c r="C34" s="28" t="str">
        <x:v>Gandaria City Mall</x:v>
      </x:c>
      <x:c r="D34" s="28" t="str">
        <x:v>Jakarta &amp; Sekitarnya (Jabodetabek)</x:v>
      </x:c>
      <x:c r="E34" s="28" t="str">
        <x:v>Jakarta</x:v>
      </x:c>
      <x:c r="F34" s="28" t="str">
        <x:v>Jeppy / Marketing</x:v>
      </x:c>
      <x:c r="G34" s="30" t="str">
        <x:v>Pending</x:v>
      </x:c>
      <x:c r="H34" s="30" t="str">
        <x:v>Pending</x:v>
      </x:c>
      <x:c r="I34" s="30" t="str">
        <x:v>Pending</x:v>
      </x:c>
      <x:c r="J34" s="30" t="str">
        <x:v>Pending</x:v>
      </x:c>
      <x:c r="K34" s="30" t="str">
        <x:v>Pending</x:v>
      </x:c>
      <x:c r="L34" s="30" t="str">
        <x:v>Pending</x:v>
      </x:c>
      <x:c r="M34" s="30" t="str">
        <x:v>Pending</x:v>
      </x:c>
      <x:c r="N34" s="30" t="str">
        <x:f>IF(COUNTIF(G34:M34,"Blocked")&gt;0,"Blocked",IF(COUNTIF(G34:M34,"Done")+COUNTIF(G34:M34,"N/A")=7,"Complete",IF(COUNTIF(G34:M34,"Done")&gt;0,"In Progress","Not Started")))</x:f>
        <x:v>Not Started</x:v>
      </x:c>
      <x:c r="O34" s="30" t="str">
        <x:f>IF(N34="Complete","Done",IF(G34&lt;&gt;"Done","Jeppy / Marketing",IF(H34&lt;&gt;"Done","Jeppy / Marketing",IF(I34&lt;&gt;"Done","Creative",IF(J34&lt;&gt;"Done","Creative",IF(K34&lt;&gt;"Done","Malik / VM",IF(L34&lt;&gt;"Done","Erlin / Retail Ops",IF(M34&lt;&gt;"Done","Store PIC / Retail Ops","Done"))))))))</x:f>
        <x:v>Jeppy / Marketing</x:v>
      </x:c>
      <x:c r="P34" s="30" t="str">
        <x:f>IF(N34="Complete","No further action",IF(G34&lt;&gt;"Done","Provide official QR for this store",IF(H34&lt;&gt;"Done","Scan QR and verify store name",IF(I34&lt;&gt;"Done","Send QR to Creative",IF(J34&lt;&gt;"Done","Finalize artwork",IF(K34&lt;&gt;"Done","Approve VM placement",IF(L34&lt;&gt;"Done","Install at store",IF(M34&lt;&gt;"Done","Perform final scan test","No further action"))))))))</x:f>
        <x:v>Provide official QR for this store</x:v>
      </x:c>
      <x:c r="Q34" s="30" t="str">
        <x:v>Normal</x:v>
      </x:c>
      <x:c r="R34" s="29"/>
      <x:c r="S34" s="28" t="str"/>
      <x:c r="T34" s="29"/>
    </x:row>
    <x:row r="35" ht="25" hidden="0" customHeight="1">
      <x:c r="B35" s="31" t="n">
        <x:v>23</x:v>
      </x:c>
      <x:c r="C35" s="28" t="str">
        <x:v>Grand Indonesia East Mall</x:v>
      </x:c>
      <x:c r="D35" s="28" t="str">
        <x:v>Jakarta &amp; Sekitarnya (Jabodetabek)</x:v>
      </x:c>
      <x:c r="E35" s="28" t="str">
        <x:v>Jakarta</x:v>
      </x:c>
      <x:c r="F35" s="28" t="str">
        <x:v>Jeppy / Marketing</x:v>
      </x:c>
      <x:c r="G35" s="30" t="str">
        <x:v>Pending</x:v>
      </x:c>
      <x:c r="H35" s="30" t="str">
        <x:v>Pending</x:v>
      </x:c>
      <x:c r="I35" s="30" t="str">
        <x:v>Pending</x:v>
      </x:c>
      <x:c r="J35" s="30" t="str">
        <x:v>Pending</x:v>
      </x:c>
      <x:c r="K35" s="30" t="str">
        <x:v>Pending</x:v>
      </x:c>
      <x:c r="L35" s="30" t="str">
        <x:v>Pending</x:v>
      </x:c>
      <x:c r="M35" s="30" t="str">
        <x:v>Pending</x:v>
      </x:c>
      <x:c r="N35" s="30" t="str">
        <x:f>IF(COUNTIF(G35:M35,"Blocked")&gt;0,"Blocked",IF(COUNTIF(G35:M35,"Done")+COUNTIF(G35:M35,"N/A")=7,"Complete",IF(COUNTIF(G35:M35,"Done")&gt;0,"In Progress","Not Started")))</x:f>
        <x:v>Not Started</x:v>
      </x:c>
      <x:c r="O35" s="30" t="str">
        <x:f>IF(N35="Complete","Done",IF(G35&lt;&gt;"Done","Jeppy / Marketing",IF(H35&lt;&gt;"Done","Jeppy / Marketing",IF(I35&lt;&gt;"Done","Creative",IF(J35&lt;&gt;"Done","Creative",IF(K35&lt;&gt;"Done","Malik / VM",IF(L35&lt;&gt;"Done","Erlin / Retail Ops",IF(M35&lt;&gt;"Done","Store PIC / Retail Ops","Done"))))))))</x:f>
        <x:v>Jeppy / Marketing</x:v>
      </x:c>
      <x:c r="P35" s="30" t="str">
        <x:f>IF(N35="Complete","No further action",IF(G35&lt;&gt;"Done","Provide official QR for this store",IF(H35&lt;&gt;"Done","Scan QR and verify store name",IF(I35&lt;&gt;"Done","Send QR to Creative",IF(J35&lt;&gt;"Done","Finalize artwork",IF(K35&lt;&gt;"Done","Approve VM placement",IF(L35&lt;&gt;"Done","Install at store",IF(M35&lt;&gt;"Done","Perform final scan test","No further action"))))))))</x:f>
        <x:v>Provide official QR for this store</x:v>
      </x:c>
      <x:c r="Q35" s="30" t="str">
        <x:v>Normal</x:v>
      </x:c>
      <x:c r="R35" s="29"/>
      <x:c r="S35" s="28" t="str"/>
      <x:c r="T35" s="29"/>
    </x:row>
    <x:row r="36" ht="25" hidden="0" customHeight="1">
      <x:c r="B36" s="31" t="n">
        <x:v>24</x:v>
      </x:c>
      <x:c r="C36" s="28" t="str">
        <x:v>K Mall at Menara Jakarta</x:v>
      </x:c>
      <x:c r="D36" s="28" t="str">
        <x:v>Jakarta &amp; Sekitarnya (Jabodetabek)</x:v>
      </x:c>
      <x:c r="E36" s="28" t="str">
        <x:v>Jakarta</x:v>
      </x:c>
      <x:c r="F36" s="28" t="str">
        <x:v>Jeppy / Marketing</x:v>
      </x:c>
      <x:c r="G36" s="30" t="str">
        <x:v>Pending</x:v>
      </x:c>
      <x:c r="H36" s="30" t="str">
        <x:v>Pending</x:v>
      </x:c>
      <x:c r="I36" s="30" t="str">
        <x:v>Pending</x:v>
      </x:c>
      <x:c r="J36" s="30" t="str">
        <x:v>Pending</x:v>
      </x:c>
      <x:c r="K36" s="30" t="str">
        <x:v>Pending</x:v>
      </x:c>
      <x:c r="L36" s="30" t="str">
        <x:v>Pending</x:v>
      </x:c>
      <x:c r="M36" s="30" t="str">
        <x:v>Pending</x:v>
      </x:c>
      <x:c r="N36" s="30" t="str">
        <x:f>IF(COUNTIF(G36:M36,"Blocked")&gt;0,"Blocked",IF(COUNTIF(G36:M36,"Done")+COUNTIF(G36:M36,"N/A")=7,"Complete",IF(COUNTIF(G36:M36,"Done")&gt;0,"In Progress","Not Started")))</x:f>
        <x:v>Not Started</x:v>
      </x:c>
      <x:c r="O36" s="30" t="str">
        <x:f>IF(N36="Complete","Done",IF(G36&lt;&gt;"Done","Jeppy / Marketing",IF(H36&lt;&gt;"Done","Jeppy / Marketing",IF(I36&lt;&gt;"Done","Creative",IF(J36&lt;&gt;"Done","Creative",IF(K36&lt;&gt;"Done","Malik / VM",IF(L36&lt;&gt;"Done","Erlin / Retail Ops",IF(M36&lt;&gt;"Done","Store PIC / Retail Ops","Done"))))))))</x:f>
        <x:v>Jeppy / Marketing</x:v>
      </x:c>
      <x:c r="P36" s="30" t="str">
        <x:f>IF(N36="Complete","No further action",IF(G36&lt;&gt;"Done","Provide official QR for this store",IF(H36&lt;&gt;"Done","Scan QR and verify store name",IF(I36&lt;&gt;"Done","Send QR to Creative",IF(J36&lt;&gt;"Done","Finalize artwork",IF(K36&lt;&gt;"Done","Approve VM placement",IF(L36&lt;&gt;"Done","Install at store",IF(M36&lt;&gt;"Done","Perform final scan test","No further action"))))))))</x:f>
        <x:v>Provide official QR for this store</x:v>
      </x:c>
      <x:c r="Q36" s="30" t="str">
        <x:v>Normal</x:v>
      </x:c>
      <x:c r="R36" s="29"/>
      <x:c r="S36" s="28" t="str"/>
      <x:c r="T36" s="29"/>
    </x:row>
    <x:row r="37" ht="25" hidden="0" customHeight="1">
      <x:c r="B37" s="31" t="n">
        <x:v>25</x:v>
      </x:c>
      <x:c r="C37" s="28" t="str">
        <x:v>Kota Kasablanka</x:v>
      </x:c>
      <x:c r="D37" s="28" t="str">
        <x:v>Jakarta &amp; Sekitarnya (Jabodetabek)</x:v>
      </x:c>
      <x:c r="E37" s="28" t="str">
        <x:v>Jakarta</x:v>
      </x:c>
      <x:c r="F37" s="28" t="str">
        <x:v>Jeppy / Marketing</x:v>
      </x:c>
      <x:c r="G37" s="30" t="str">
        <x:v>Pending</x:v>
      </x:c>
      <x:c r="H37" s="30" t="str">
        <x:v>Pending</x:v>
      </x:c>
      <x:c r="I37" s="30" t="str">
        <x:v>Pending</x:v>
      </x:c>
      <x:c r="J37" s="30" t="str">
        <x:v>Pending</x:v>
      </x:c>
      <x:c r="K37" s="30" t="str">
        <x:v>Pending</x:v>
      </x:c>
      <x:c r="L37" s="30" t="str">
        <x:v>Pending</x:v>
      </x:c>
      <x:c r="M37" s="30" t="str">
        <x:v>Pending</x:v>
      </x:c>
      <x:c r="N37" s="30" t="str">
        <x:f>IF(COUNTIF(G37:M37,"Blocked")&gt;0,"Blocked",IF(COUNTIF(G37:M37,"Done")+COUNTIF(G37:M37,"N/A")=7,"Complete",IF(COUNTIF(G37:M37,"Done")&gt;0,"In Progress","Not Started")))</x:f>
        <x:v>Not Started</x:v>
      </x:c>
      <x:c r="O37" s="30" t="str">
        <x:f>IF(N37="Complete","Done",IF(G37&lt;&gt;"Done","Jeppy / Marketing",IF(H37&lt;&gt;"Done","Jeppy / Marketing",IF(I37&lt;&gt;"Done","Creative",IF(J37&lt;&gt;"Done","Creative",IF(K37&lt;&gt;"Done","Malik / VM",IF(L37&lt;&gt;"Done","Erlin / Retail Ops",IF(M37&lt;&gt;"Done","Store PIC / Retail Ops","Done"))))))))</x:f>
        <x:v>Jeppy / Marketing</x:v>
      </x:c>
      <x:c r="P37" s="30" t="str">
        <x:f>IF(N37="Complete","No further action",IF(G37&lt;&gt;"Done","Provide official QR for this store",IF(H37&lt;&gt;"Done","Scan QR and verify store name",IF(I37&lt;&gt;"Done","Send QR to Creative",IF(J37&lt;&gt;"Done","Finalize artwork",IF(K37&lt;&gt;"Done","Approve VM placement",IF(L37&lt;&gt;"Done","Install at store",IF(M37&lt;&gt;"Done","Perform final scan test","No further action"))))))))</x:f>
        <x:v>Provide official QR for this store</x:v>
      </x:c>
      <x:c r="Q37" s="30" t="str">
        <x:v>Normal</x:v>
      </x:c>
      <x:c r="R37" s="29"/>
      <x:c r="S37" s="28" t="str"/>
      <x:c r="T37" s="29"/>
    </x:row>
    <x:row r="38" ht="25" hidden="0" customHeight="1">
      <x:c r="B38" s="31" t="n">
        <x:v>26</x:v>
      </x:c>
      <x:c r="C38" s="28" t="str">
        <x:v>Lippo Mall Nusantara</x:v>
      </x:c>
      <x:c r="D38" s="28" t="str">
        <x:v>Jakarta &amp; Sekitarnya (Jabodetabek)</x:v>
      </x:c>
      <x:c r="E38" s="28" t="str">
        <x:v>Jakarta</x:v>
      </x:c>
      <x:c r="F38" s="28" t="str">
        <x:v>Jeppy / Marketing</x:v>
      </x:c>
      <x:c r="G38" s="30" t="str">
        <x:v>Pending</x:v>
      </x:c>
      <x:c r="H38" s="30" t="str">
        <x:v>Pending</x:v>
      </x:c>
      <x:c r="I38" s="30" t="str">
        <x:v>Pending</x:v>
      </x:c>
      <x:c r="J38" s="30" t="str">
        <x:v>Pending</x:v>
      </x:c>
      <x:c r="K38" s="30" t="str">
        <x:v>Pending</x:v>
      </x:c>
      <x:c r="L38" s="30" t="str">
        <x:v>Pending</x:v>
      </x:c>
      <x:c r="M38" s="30" t="str">
        <x:v>Pending</x:v>
      </x:c>
      <x:c r="N38" s="30" t="str">
        <x:f>IF(COUNTIF(G38:M38,"Blocked")&gt;0,"Blocked",IF(COUNTIF(G38:M38,"Done")+COUNTIF(G38:M38,"N/A")=7,"Complete",IF(COUNTIF(G38:M38,"Done")&gt;0,"In Progress","Not Started")))</x:f>
        <x:v>Not Started</x:v>
      </x:c>
      <x:c r="O38" s="30" t="str">
        <x:f>IF(N38="Complete","Done",IF(G38&lt;&gt;"Done","Jeppy / Marketing",IF(H38&lt;&gt;"Done","Jeppy / Marketing",IF(I38&lt;&gt;"Done","Creative",IF(J38&lt;&gt;"Done","Creative",IF(K38&lt;&gt;"Done","Malik / VM",IF(L38&lt;&gt;"Done","Erlin / Retail Ops",IF(M38&lt;&gt;"Done","Store PIC / Retail Ops","Done"))))))))</x:f>
        <x:v>Jeppy / Marketing</x:v>
      </x:c>
      <x:c r="P38" s="30" t="str">
        <x:f>IF(N38="Complete","No further action",IF(G38&lt;&gt;"Done","Provide official QR for this store",IF(H38&lt;&gt;"Done","Scan QR and verify store name",IF(I38&lt;&gt;"Done","Send QR to Creative",IF(J38&lt;&gt;"Done","Finalize artwork",IF(K38&lt;&gt;"Done","Approve VM placement",IF(L38&lt;&gt;"Done","Install at store",IF(M38&lt;&gt;"Done","Perform final scan test","No further action"))))))))</x:f>
        <x:v>Provide official QR for this store</x:v>
      </x:c>
      <x:c r="Q38" s="30" t="str">
        <x:v>Normal</x:v>
      </x:c>
      <x:c r="R38" s="29"/>
      <x:c r="S38" s="28" t="str"/>
      <x:c r="T38" s="29"/>
    </x:row>
    <x:row r="39" ht="25" hidden="0" customHeight="1">
      <x:c r="B39" s="31" t="n">
        <x:v>27</x:v>
      </x:c>
      <x:c r="C39" s="28" t="str">
        <x:v>Lotte Mall Jakarta</x:v>
      </x:c>
      <x:c r="D39" s="28" t="str">
        <x:v>Jakarta &amp; Sekitarnya (Jabodetabek)</x:v>
      </x:c>
      <x:c r="E39" s="28" t="str">
        <x:v>Jakarta</x:v>
      </x:c>
      <x:c r="F39" s="28" t="str">
        <x:v>Jeppy / Marketing</x:v>
      </x:c>
      <x:c r="G39" s="30" t="str">
        <x:v>Pending</x:v>
      </x:c>
      <x:c r="H39" s="30" t="str">
        <x:v>Pending</x:v>
      </x:c>
      <x:c r="I39" s="30" t="str">
        <x:v>Pending</x:v>
      </x:c>
      <x:c r="J39" s="30" t="str">
        <x:v>Pending</x:v>
      </x:c>
      <x:c r="K39" s="30" t="str">
        <x:v>Pending</x:v>
      </x:c>
      <x:c r="L39" s="30" t="str">
        <x:v>Pending</x:v>
      </x:c>
      <x:c r="M39" s="30" t="str">
        <x:v>Pending</x:v>
      </x:c>
      <x:c r="N39" s="30" t="str">
        <x:f>IF(COUNTIF(G39:M39,"Blocked")&gt;0,"Blocked",IF(COUNTIF(G39:M39,"Done")+COUNTIF(G39:M39,"N/A")=7,"Complete",IF(COUNTIF(G39:M39,"Done")&gt;0,"In Progress","Not Started")))</x:f>
        <x:v>Not Started</x:v>
      </x:c>
      <x:c r="O39" s="30" t="str">
        <x:f>IF(N39="Complete","Done",IF(G39&lt;&gt;"Done","Jeppy / Marketing",IF(H39&lt;&gt;"Done","Jeppy / Marketing",IF(I39&lt;&gt;"Done","Creative",IF(J39&lt;&gt;"Done","Creative",IF(K39&lt;&gt;"Done","Malik / VM",IF(L39&lt;&gt;"Done","Erlin / Retail Ops",IF(M39&lt;&gt;"Done","Store PIC / Retail Ops","Done"))))))))</x:f>
        <x:v>Jeppy / Marketing</x:v>
      </x:c>
      <x:c r="P39" s="30" t="str">
        <x:f>IF(N39="Complete","No further action",IF(G39&lt;&gt;"Done","Provide official QR for this store",IF(H39&lt;&gt;"Done","Scan QR and verify store name",IF(I39&lt;&gt;"Done","Send QR to Creative",IF(J39&lt;&gt;"Done","Finalize artwork",IF(K39&lt;&gt;"Done","Approve VM placement",IF(L39&lt;&gt;"Done","Install at store",IF(M39&lt;&gt;"Done","Perform final scan test","No further action"))))))))</x:f>
        <x:v>Provide official QR for this store</x:v>
      </x:c>
      <x:c r="Q39" s="30" t="str">
        <x:v>Normal</x:v>
      </x:c>
      <x:c r="R39" s="29"/>
      <x:c r="S39" s="28" t="str"/>
      <x:c r="T39" s="29"/>
    </x:row>
    <x:row r="40" ht="25" hidden="0" customHeight="1">
      <x:c r="B40" s="31" t="n">
        <x:v>28</x:v>
      </x:c>
      <x:c r="C40" s="28" t="str">
        <x:v>Mall Kelapa Gading 2</x:v>
      </x:c>
      <x:c r="D40" s="28" t="str">
        <x:v>Jakarta &amp; Sekitarnya (Jabodetabek)</x:v>
      </x:c>
      <x:c r="E40" s="28" t="str">
        <x:v>Jakarta</x:v>
      </x:c>
      <x:c r="F40" s="28" t="str">
        <x:v>Jeppy / Marketing</x:v>
      </x:c>
      <x:c r="G40" s="30" t="str">
        <x:v>Pending</x:v>
      </x:c>
      <x:c r="H40" s="30" t="str">
        <x:v>Pending</x:v>
      </x:c>
      <x:c r="I40" s="30" t="str">
        <x:v>Pending</x:v>
      </x:c>
      <x:c r="J40" s="30" t="str">
        <x:v>Pending</x:v>
      </x:c>
      <x:c r="K40" s="30" t="str">
        <x:v>Pending</x:v>
      </x:c>
      <x:c r="L40" s="30" t="str">
        <x:v>Pending</x:v>
      </x:c>
      <x:c r="M40" s="30" t="str">
        <x:v>Pending</x:v>
      </x:c>
      <x:c r="N40" s="30" t="str">
        <x:f>IF(COUNTIF(G40:M40,"Blocked")&gt;0,"Blocked",IF(COUNTIF(G40:M40,"Done")+COUNTIF(G40:M40,"N/A")=7,"Complete",IF(COUNTIF(G40:M40,"Done")&gt;0,"In Progress","Not Started")))</x:f>
        <x:v>Not Started</x:v>
      </x:c>
      <x:c r="O40" s="30" t="str">
        <x:f>IF(N40="Complete","Done",IF(G40&lt;&gt;"Done","Jeppy / Marketing",IF(H40&lt;&gt;"Done","Jeppy / Marketing",IF(I40&lt;&gt;"Done","Creative",IF(J40&lt;&gt;"Done","Creative",IF(K40&lt;&gt;"Done","Malik / VM",IF(L40&lt;&gt;"Done","Erlin / Retail Ops",IF(M40&lt;&gt;"Done","Store PIC / Retail Ops","Done"))))))))</x:f>
        <x:v>Jeppy / Marketing</x:v>
      </x:c>
      <x:c r="P40" s="30" t="str">
        <x:f>IF(N40="Complete","No further action",IF(G40&lt;&gt;"Done","Provide official QR for this store",IF(H40&lt;&gt;"Done","Scan QR and verify store name",IF(I40&lt;&gt;"Done","Send QR to Creative",IF(J40&lt;&gt;"Done","Finalize artwork",IF(K40&lt;&gt;"Done","Approve VM placement",IF(L40&lt;&gt;"Done","Install at store",IF(M40&lt;&gt;"Done","Perform final scan test","No further action"))))))))</x:f>
        <x:v>Provide official QR for this store</x:v>
      </x:c>
      <x:c r="Q40" s="30" t="str">
        <x:v>Normal</x:v>
      </x:c>
      <x:c r="R40" s="29"/>
      <x:c r="S40" s="28" t="str"/>
      <x:c r="T40" s="29"/>
    </x:row>
    <x:row r="41" ht="25" hidden="0" customHeight="1">
      <x:c r="B41" s="31" t="n">
        <x:v>29</x:v>
      </x:c>
      <x:c r="C41" s="28" t="str">
        <x:v>Mall Of Indonesia</x:v>
      </x:c>
      <x:c r="D41" s="28" t="str">
        <x:v>Jakarta &amp; Sekitarnya (Jabodetabek)</x:v>
      </x:c>
      <x:c r="E41" s="28" t="str">
        <x:v>Jakarta</x:v>
      </x:c>
      <x:c r="F41" s="28" t="str">
        <x:v>Jeppy / Marketing</x:v>
      </x:c>
      <x:c r="G41" s="30" t="str">
        <x:v>Pending</x:v>
      </x:c>
      <x:c r="H41" s="30" t="str">
        <x:v>Pending</x:v>
      </x:c>
      <x:c r="I41" s="30" t="str">
        <x:v>Pending</x:v>
      </x:c>
      <x:c r="J41" s="30" t="str">
        <x:v>Pending</x:v>
      </x:c>
      <x:c r="K41" s="30" t="str">
        <x:v>Pending</x:v>
      </x:c>
      <x:c r="L41" s="30" t="str">
        <x:v>Pending</x:v>
      </x:c>
      <x:c r="M41" s="30" t="str">
        <x:v>Pending</x:v>
      </x:c>
      <x:c r="N41" s="30" t="str">
        <x:f>IF(COUNTIF(G41:M41,"Blocked")&gt;0,"Blocked",IF(COUNTIF(G41:M41,"Done")+COUNTIF(G41:M41,"N/A")=7,"Complete",IF(COUNTIF(G41:M41,"Done")&gt;0,"In Progress","Not Started")))</x:f>
        <x:v>Not Started</x:v>
      </x:c>
      <x:c r="O41" s="30" t="str">
        <x:f>IF(N41="Complete","Done",IF(G41&lt;&gt;"Done","Jeppy / Marketing",IF(H41&lt;&gt;"Done","Jeppy / Marketing",IF(I41&lt;&gt;"Done","Creative",IF(J41&lt;&gt;"Done","Creative",IF(K41&lt;&gt;"Done","Malik / VM",IF(L41&lt;&gt;"Done","Erlin / Retail Ops",IF(M41&lt;&gt;"Done","Store PIC / Retail Ops","Done"))))))))</x:f>
        <x:v>Jeppy / Marketing</x:v>
      </x:c>
      <x:c r="P41" s="30" t="str">
        <x:f>IF(N41="Complete","No further action",IF(G41&lt;&gt;"Done","Provide official QR for this store",IF(H41&lt;&gt;"Done","Scan QR and verify store name",IF(I41&lt;&gt;"Done","Send QR to Creative",IF(J41&lt;&gt;"Done","Finalize artwork",IF(K41&lt;&gt;"Done","Approve VM placement",IF(L41&lt;&gt;"Done","Install at store",IF(M41&lt;&gt;"Done","Perform final scan test","No further action"))))))))</x:f>
        <x:v>Provide official QR for this store</x:v>
      </x:c>
      <x:c r="Q41" s="30" t="str">
        <x:v>Normal</x:v>
      </x:c>
      <x:c r="R41" s="29"/>
      <x:c r="S41" s="28" t="str"/>
      <x:c r="T41" s="29"/>
    </x:row>
    <x:row r="42" ht="25" hidden="0" customHeight="1">
      <x:c r="B42" s="31" t="n">
        <x:v>30</x:v>
      </x:c>
      <x:c r="C42" s="28" t="str">
        <x:v>Pondok Indah Mall 1</x:v>
      </x:c>
      <x:c r="D42" s="28" t="str">
        <x:v>Jakarta &amp; Sekitarnya (Jabodetabek)</x:v>
      </x:c>
      <x:c r="E42" s="28" t="str">
        <x:v>Jakarta</x:v>
      </x:c>
      <x:c r="F42" s="28" t="str">
        <x:v>Jeppy / Marketing</x:v>
      </x:c>
      <x:c r="G42" s="30" t="str">
        <x:v>Pending</x:v>
      </x:c>
      <x:c r="H42" s="30" t="str">
        <x:v>Pending</x:v>
      </x:c>
      <x:c r="I42" s="30" t="str">
        <x:v>Pending</x:v>
      </x:c>
      <x:c r="J42" s="30" t="str">
        <x:v>Pending</x:v>
      </x:c>
      <x:c r="K42" s="30" t="str">
        <x:v>Pending</x:v>
      </x:c>
      <x:c r="L42" s="30" t="str">
        <x:v>Pending</x:v>
      </x:c>
      <x:c r="M42" s="30" t="str">
        <x:v>Pending</x:v>
      </x:c>
      <x:c r="N42" s="30" t="str">
        <x:f>IF(COUNTIF(G42:M42,"Blocked")&gt;0,"Blocked",IF(COUNTIF(G42:M42,"Done")+COUNTIF(G42:M42,"N/A")=7,"Complete",IF(COUNTIF(G42:M42,"Done")&gt;0,"In Progress","Not Started")))</x:f>
        <x:v>Not Started</x:v>
      </x:c>
      <x:c r="O42" s="30" t="str">
        <x:f>IF(N42="Complete","Done",IF(G42&lt;&gt;"Done","Jeppy / Marketing",IF(H42&lt;&gt;"Done","Jeppy / Marketing",IF(I42&lt;&gt;"Done","Creative",IF(J42&lt;&gt;"Done","Creative",IF(K42&lt;&gt;"Done","Malik / VM",IF(L42&lt;&gt;"Done","Erlin / Retail Ops",IF(M42&lt;&gt;"Done","Store PIC / Retail Ops","Done"))))))))</x:f>
        <x:v>Jeppy / Marketing</x:v>
      </x:c>
      <x:c r="P42" s="30" t="str">
        <x:f>IF(N42="Complete","No further action",IF(G42&lt;&gt;"Done","Provide official QR for this store",IF(H42&lt;&gt;"Done","Scan QR and verify store name",IF(I42&lt;&gt;"Done","Send QR to Creative",IF(J42&lt;&gt;"Done","Finalize artwork",IF(K42&lt;&gt;"Done","Approve VM placement",IF(L42&lt;&gt;"Done","Install at store",IF(M42&lt;&gt;"Done","Perform final scan test","No further action"))))))))</x:f>
        <x:v>Provide official QR for this store</x:v>
      </x:c>
      <x:c r="Q42" s="30" t="str">
        <x:v>Normal</x:v>
      </x:c>
      <x:c r="R42" s="29"/>
      <x:c r="S42" s="28" t="str"/>
      <x:c r="T42" s="29"/>
    </x:row>
    <x:row r="43" ht="25" hidden="0" customHeight="1">
      <x:c r="B43" s="31" t="n">
        <x:v>31</x:v>
      </x:c>
      <x:c r="C43" s="28" t="str">
        <x:v>La Vela</x:v>
      </x:c>
      <x:c r="D43" s="28" t="str">
        <x:v>Jakarta &amp; Sekitarnya (Jabodetabek)</x:v>
      </x:c>
      <x:c r="E43" s="28" t="str">
        <x:v>Tangerang</x:v>
      </x:c>
      <x:c r="F43" s="28" t="str">
        <x:v>Jeppy / Marketing</x:v>
      </x:c>
      <x:c r="G43" s="30" t="str">
        <x:v>Pending</x:v>
      </x:c>
      <x:c r="H43" s="30" t="str">
        <x:v>Pending</x:v>
      </x:c>
      <x:c r="I43" s="30" t="str">
        <x:v>Pending</x:v>
      </x:c>
      <x:c r="J43" s="30" t="str">
        <x:v>Pending</x:v>
      </x:c>
      <x:c r="K43" s="30" t="str">
        <x:v>Pending</x:v>
      </x:c>
      <x:c r="L43" s="30" t="str">
        <x:v>Pending</x:v>
      </x:c>
      <x:c r="M43" s="30" t="str">
        <x:v>Pending</x:v>
      </x:c>
      <x:c r="N43" s="30" t="str">
        <x:f>IF(COUNTIF(G43:M43,"Blocked")&gt;0,"Blocked",IF(COUNTIF(G43:M43,"Done")+COUNTIF(G43:M43,"N/A")=7,"Complete",IF(COUNTIF(G43:M43,"Done")&gt;0,"In Progress","Not Started")))</x:f>
        <x:v>Not Started</x:v>
      </x:c>
      <x:c r="O43" s="30" t="str">
        <x:f>IF(N43="Complete","Done",IF(G43&lt;&gt;"Done","Jeppy / Marketing",IF(H43&lt;&gt;"Done","Jeppy / Marketing",IF(I43&lt;&gt;"Done","Creative",IF(J43&lt;&gt;"Done","Creative",IF(K43&lt;&gt;"Done","Malik / VM",IF(L43&lt;&gt;"Done","Erlin / Retail Ops",IF(M43&lt;&gt;"Done","Store PIC / Retail Ops","Done"))))))))</x:f>
        <x:v>Jeppy / Marketing</x:v>
      </x:c>
      <x:c r="P43" s="30" t="str">
        <x:f>IF(N43="Complete","No further action",IF(G43&lt;&gt;"Done","Provide official QR for this store",IF(H43&lt;&gt;"Done","Scan QR and verify store name",IF(I43&lt;&gt;"Done","Send QR to Creative",IF(J43&lt;&gt;"Done","Finalize artwork",IF(K43&lt;&gt;"Done","Approve VM placement",IF(L43&lt;&gt;"Done","Install at store",IF(M43&lt;&gt;"Done","Perform final scan test","No further action"))))))))</x:f>
        <x:v>Provide official QR for this store</x:v>
      </x:c>
      <x:c r="Q43" s="30" t="str">
        <x:v>Normal</x:v>
      </x:c>
      <x:c r="R43" s="29"/>
      <x:c r="S43" s="28" t="str"/>
      <x:c r="T43" s="29"/>
    </x:row>
    <x:row r="44" ht="25" hidden="0" customHeight="1">
      <x:c r="B44" s="31" t="n">
        <x:v>32</x:v>
      </x:c>
      <x:c r="C44" s="28" t="str">
        <x:v>Living World Alam Sutera</x:v>
      </x:c>
      <x:c r="D44" s="28" t="str">
        <x:v>Jakarta &amp; Sekitarnya (Jabodetabek)</x:v>
      </x:c>
      <x:c r="E44" s="28" t="str">
        <x:v>Tangerang</x:v>
      </x:c>
      <x:c r="F44" s="28" t="str">
        <x:v>Jeppy / Marketing</x:v>
      </x:c>
      <x:c r="G44" s="30" t="str">
        <x:v>Pending</x:v>
      </x:c>
      <x:c r="H44" s="30" t="str">
        <x:v>Pending</x:v>
      </x:c>
      <x:c r="I44" s="30" t="str">
        <x:v>Pending</x:v>
      </x:c>
      <x:c r="J44" s="30" t="str">
        <x:v>Pending</x:v>
      </x:c>
      <x:c r="K44" s="30" t="str">
        <x:v>Pending</x:v>
      </x:c>
      <x:c r="L44" s="30" t="str">
        <x:v>Pending</x:v>
      </x:c>
      <x:c r="M44" s="30" t="str">
        <x:v>Pending</x:v>
      </x:c>
      <x:c r="N44" s="30" t="str">
        <x:f>IF(COUNTIF(G44:M44,"Blocked")&gt;0,"Blocked",IF(COUNTIF(G44:M44,"Done")+COUNTIF(G44:M44,"N/A")=7,"Complete",IF(COUNTIF(G44:M44,"Done")&gt;0,"In Progress","Not Started")))</x:f>
        <x:v>Not Started</x:v>
      </x:c>
      <x:c r="O44" s="30" t="str">
        <x:f>IF(N44="Complete","Done",IF(G44&lt;&gt;"Done","Jeppy / Marketing",IF(H44&lt;&gt;"Done","Jeppy / Marketing",IF(I44&lt;&gt;"Done","Creative",IF(J44&lt;&gt;"Done","Creative",IF(K44&lt;&gt;"Done","Malik / VM",IF(L44&lt;&gt;"Done","Erlin / Retail Ops",IF(M44&lt;&gt;"Done","Store PIC / Retail Ops","Done"))))))))</x:f>
        <x:v>Jeppy / Marketing</x:v>
      </x:c>
      <x:c r="P44" s="30" t="str">
        <x:f>IF(N44="Complete","No further action",IF(G44&lt;&gt;"Done","Provide official QR for this store",IF(H44&lt;&gt;"Done","Scan QR and verify store name",IF(I44&lt;&gt;"Done","Send QR to Creative",IF(J44&lt;&gt;"Done","Finalize artwork",IF(K44&lt;&gt;"Done","Approve VM placement",IF(L44&lt;&gt;"Done","Install at store",IF(M44&lt;&gt;"Done","Perform final scan test","No further action"))))))))</x:f>
        <x:v>Provide official QR for this store</x:v>
      </x:c>
      <x:c r="Q44" s="30" t="str">
        <x:v>Normal</x:v>
      </x:c>
      <x:c r="R44" s="29"/>
      <x:c r="S44" s="28" t="str"/>
      <x:c r="T44" s="29"/>
    </x:row>
    <x:row r="45" ht="25" hidden="0" customHeight="1">
      <x:c r="B45" s="31" t="n">
        <x:v>33</x:v>
      </x:c>
      <x:c r="C45" s="28" t="str">
        <x:v>Summarecon Mall Serpong</x:v>
      </x:c>
      <x:c r="D45" s="28" t="str">
        <x:v>Jakarta &amp; Sekitarnya (Jabodetabek)</x:v>
      </x:c>
      <x:c r="E45" s="28" t="str">
        <x:v>Tangerang</x:v>
      </x:c>
      <x:c r="F45" s="28" t="str">
        <x:v>Jeppy / Marketing</x:v>
      </x:c>
      <x:c r="G45" s="30" t="str">
        <x:v>Pending</x:v>
      </x:c>
      <x:c r="H45" s="30" t="str">
        <x:v>Pending</x:v>
      </x:c>
      <x:c r="I45" s="30" t="str">
        <x:v>Pending</x:v>
      </x:c>
      <x:c r="J45" s="30" t="str">
        <x:v>Pending</x:v>
      </x:c>
      <x:c r="K45" s="30" t="str">
        <x:v>Pending</x:v>
      </x:c>
      <x:c r="L45" s="30" t="str">
        <x:v>Pending</x:v>
      </x:c>
      <x:c r="M45" s="30" t="str">
        <x:v>Pending</x:v>
      </x:c>
      <x:c r="N45" s="30" t="str">
        <x:f>IF(COUNTIF(G45:M45,"Blocked")&gt;0,"Blocked",IF(COUNTIF(G45:M45,"Done")+COUNTIF(G45:M45,"N/A")=7,"Complete",IF(COUNTIF(G45:M45,"Done")&gt;0,"In Progress","Not Started")))</x:f>
        <x:v>Not Started</x:v>
      </x:c>
      <x:c r="O45" s="30" t="str">
        <x:f>IF(N45="Complete","Done",IF(G45&lt;&gt;"Done","Jeppy / Marketing",IF(H45&lt;&gt;"Done","Jeppy / Marketing",IF(I45&lt;&gt;"Done","Creative",IF(J45&lt;&gt;"Done","Creative",IF(K45&lt;&gt;"Done","Malik / VM",IF(L45&lt;&gt;"Done","Erlin / Retail Ops",IF(M45&lt;&gt;"Done","Store PIC / Retail Ops","Done"))))))))</x:f>
        <x:v>Jeppy / Marketing</x:v>
      </x:c>
      <x:c r="P45" s="30" t="str">
        <x:f>IF(N45="Complete","No further action",IF(G45&lt;&gt;"Done","Provide official QR for this store",IF(H45&lt;&gt;"Done","Scan QR and verify store name",IF(I45&lt;&gt;"Done","Send QR to Creative",IF(J45&lt;&gt;"Done","Finalize artwork",IF(K45&lt;&gt;"Done","Approve VM placement",IF(L45&lt;&gt;"Done","Install at store",IF(M45&lt;&gt;"Done","Perform final scan test","No further action"))))))))</x:f>
        <x:v>Provide official QR for this store</x:v>
      </x:c>
      <x:c r="Q45" s="30" t="str">
        <x:v>Normal</x:v>
      </x:c>
      <x:c r="R45" s="29"/>
      <x:c r="S45" s="28" t="str"/>
      <x:c r="T45" s="29"/>
    </x:row>
    <x:row r="46" ht="25" hidden="0" customHeight="1">
      <x:c r="B46" s="31" t="n">
        <x:v>34</x:v>
      </x:c>
      <x:c r="C46" s="28" t="str">
        <x:v>Pakuwon Mall Bekasi</x:v>
      </x:c>
      <x:c r="D46" s="28" t="str">
        <x:v>Jakarta &amp; Sekitarnya (Jabodetabek)</x:v>
      </x:c>
      <x:c r="E46" s="28" t="str">
        <x:v>Bekasi</x:v>
      </x:c>
      <x:c r="F46" s="28" t="str">
        <x:v>Jeppy / Marketing</x:v>
      </x:c>
      <x:c r="G46" s="30" t="str">
        <x:v>Pending</x:v>
      </x:c>
      <x:c r="H46" s="30" t="str">
        <x:v>Pending</x:v>
      </x:c>
      <x:c r="I46" s="30" t="str">
        <x:v>Pending</x:v>
      </x:c>
      <x:c r="J46" s="30" t="str">
        <x:v>Pending</x:v>
      </x:c>
      <x:c r="K46" s="30" t="str">
        <x:v>Pending</x:v>
      </x:c>
      <x:c r="L46" s="30" t="str">
        <x:v>Pending</x:v>
      </x:c>
      <x:c r="M46" s="30" t="str">
        <x:v>Pending</x:v>
      </x:c>
      <x:c r="N46" s="30" t="str">
        <x:f>IF(COUNTIF(G46:M46,"Blocked")&gt;0,"Blocked",IF(COUNTIF(G46:M46,"Done")+COUNTIF(G46:M46,"N/A")=7,"Complete",IF(COUNTIF(G46:M46,"Done")&gt;0,"In Progress","Not Started")))</x:f>
        <x:v>Not Started</x:v>
      </x:c>
      <x:c r="O46" s="30" t="str">
        <x:f>IF(N46="Complete","Done",IF(G46&lt;&gt;"Done","Jeppy / Marketing",IF(H46&lt;&gt;"Done","Jeppy / Marketing",IF(I46&lt;&gt;"Done","Creative",IF(J46&lt;&gt;"Done","Creative",IF(K46&lt;&gt;"Done","Malik / VM",IF(L46&lt;&gt;"Done","Erlin / Retail Ops",IF(M46&lt;&gt;"Done","Store PIC / Retail Ops","Done"))))))))</x:f>
        <x:v>Jeppy / Marketing</x:v>
      </x:c>
      <x:c r="P46" s="30" t="str">
        <x:f>IF(N46="Complete","No further action",IF(G46&lt;&gt;"Done","Provide official QR for this store",IF(H46&lt;&gt;"Done","Scan QR and verify store name",IF(I46&lt;&gt;"Done","Send QR to Creative",IF(J46&lt;&gt;"Done","Finalize artwork",IF(K46&lt;&gt;"Done","Approve VM placement",IF(L46&lt;&gt;"Done","Install at store",IF(M46&lt;&gt;"Done","Perform final scan test","No further action"))))))))</x:f>
        <x:v>Provide official QR for this store</x:v>
      </x:c>
      <x:c r="Q46" s="30" t="str">
        <x:v>Normal</x:v>
      </x:c>
      <x:c r="R46" s="29"/>
      <x:c r="S46" s="28" t="str"/>
      <x:c r="T46" s="29"/>
    </x:row>
    <x:row r="47" ht="25" hidden="0" customHeight="1">
      <x:c r="B47" s="31" t="n">
        <x:v>35</x:v>
      </x:c>
      <x:c r="C47" s="28" t="str">
        <x:v>AEON MALL Deltamas</x:v>
      </x:c>
      <x:c r="D47" s="28" t="str">
        <x:v>Jakarta &amp; Sekitarnya (Jabodetabek)</x:v>
      </x:c>
      <x:c r="E47" s="28" t="str">
        <x:v>Cikarang</x:v>
      </x:c>
      <x:c r="F47" s="28" t="str">
        <x:v>Jeppy / Marketing</x:v>
      </x:c>
      <x:c r="G47" s="30" t="str">
        <x:v>Pending</x:v>
      </x:c>
      <x:c r="H47" s="30" t="str">
        <x:v>Pending</x:v>
      </x:c>
      <x:c r="I47" s="30" t="str">
        <x:v>Pending</x:v>
      </x:c>
      <x:c r="J47" s="30" t="str">
        <x:v>Pending</x:v>
      </x:c>
      <x:c r="K47" s="30" t="str">
        <x:v>Pending</x:v>
      </x:c>
      <x:c r="L47" s="30" t="str">
        <x:v>Pending</x:v>
      </x:c>
      <x:c r="M47" s="30" t="str">
        <x:v>Pending</x:v>
      </x:c>
      <x:c r="N47" s="30" t="str">
        <x:f>IF(COUNTIF(G47:M47,"Blocked")&gt;0,"Blocked",IF(COUNTIF(G47:M47,"Done")+COUNTIF(G47:M47,"N/A")=7,"Complete",IF(COUNTIF(G47:M47,"Done")&gt;0,"In Progress","Not Started")))</x:f>
        <x:v>Not Started</x:v>
      </x:c>
      <x:c r="O47" s="30" t="str">
        <x:f>IF(N47="Complete","Done",IF(G47&lt;&gt;"Done","Jeppy / Marketing",IF(H47&lt;&gt;"Done","Jeppy / Marketing",IF(I47&lt;&gt;"Done","Creative",IF(J47&lt;&gt;"Done","Creative",IF(K47&lt;&gt;"Done","Malik / VM",IF(L47&lt;&gt;"Done","Erlin / Retail Ops",IF(M47&lt;&gt;"Done","Store PIC / Retail Ops","Done"))))))))</x:f>
        <x:v>Jeppy / Marketing</x:v>
      </x:c>
      <x:c r="P47" s="30" t="str">
        <x:f>IF(N47="Complete","No further action",IF(G47&lt;&gt;"Done","Provide official QR for this store",IF(H47&lt;&gt;"Done","Scan QR and verify store name",IF(I47&lt;&gt;"Done","Send QR to Creative",IF(J47&lt;&gt;"Done","Finalize artwork",IF(K47&lt;&gt;"Done","Approve VM placement",IF(L47&lt;&gt;"Done","Install at store",IF(M47&lt;&gt;"Done","Perform final scan test","No further action"))))))))</x:f>
        <x:v>Provide official QR for this store</x:v>
      </x:c>
      <x:c r="Q47" s="30" t="str">
        <x:v>Normal</x:v>
      </x:c>
      <x:c r="R47" s="29"/>
      <x:c r="S47" s="28" t="str"/>
      <x:c r="T47" s="29"/>
    </x:row>
    <x:row r="48" ht="25" hidden="0" customHeight="1">
      <x:c r="B48" s="31" t="n">
        <x:v>36</x:v>
      </x:c>
      <x:c r="C48" s="28" t="str">
        <x:v>MARGOCITY</x:v>
      </x:c>
      <x:c r="D48" s="28" t="str">
        <x:v>Jakarta &amp; Sekitarnya (Jabodetabek)</x:v>
      </x:c>
      <x:c r="E48" s="28" t="str">
        <x:v>Depok</x:v>
      </x:c>
      <x:c r="F48" s="28" t="str">
        <x:v>Jeppy / Marketing</x:v>
      </x:c>
      <x:c r="G48" s="30" t="str">
        <x:v>Pending</x:v>
      </x:c>
      <x:c r="H48" s="30" t="str">
        <x:v>Pending</x:v>
      </x:c>
      <x:c r="I48" s="30" t="str">
        <x:v>Pending</x:v>
      </x:c>
      <x:c r="J48" s="30" t="str">
        <x:v>Pending</x:v>
      </x:c>
      <x:c r="K48" s="30" t="str">
        <x:v>Pending</x:v>
      </x:c>
      <x:c r="L48" s="30" t="str">
        <x:v>Pending</x:v>
      </x:c>
      <x:c r="M48" s="30" t="str">
        <x:v>Pending</x:v>
      </x:c>
      <x:c r="N48" s="30" t="str">
        <x:f>IF(COUNTIF(G48:M48,"Blocked")&gt;0,"Blocked",IF(COUNTIF(G48:M48,"Done")+COUNTIF(G48:M48,"N/A")=7,"Complete",IF(COUNTIF(G48:M48,"Done")&gt;0,"In Progress","Not Started")))</x:f>
        <x:v>Not Started</x:v>
      </x:c>
      <x:c r="O48" s="30" t="str">
        <x:f>IF(N48="Complete","Done",IF(G48&lt;&gt;"Done","Jeppy / Marketing",IF(H48&lt;&gt;"Done","Jeppy / Marketing",IF(I48&lt;&gt;"Done","Creative",IF(J48&lt;&gt;"Done","Creative",IF(K48&lt;&gt;"Done","Malik / VM",IF(L48&lt;&gt;"Done","Erlin / Retail Ops",IF(M48&lt;&gt;"Done","Store PIC / Retail Ops","Done"))))))))</x:f>
        <x:v>Jeppy / Marketing</x:v>
      </x:c>
      <x:c r="P48" s="30" t="str">
        <x:f>IF(N48="Complete","No further action",IF(G48&lt;&gt;"Done","Provide official QR for this store",IF(H48&lt;&gt;"Done","Scan QR and verify store name",IF(I48&lt;&gt;"Done","Send QR to Creative",IF(J48&lt;&gt;"Done","Finalize artwork",IF(K48&lt;&gt;"Done","Approve VM placement",IF(L48&lt;&gt;"Done","Install at store",IF(M48&lt;&gt;"Done","Perform final scan test","No further action"))))))))</x:f>
        <x:v>Provide official QR for this store</x:v>
      </x:c>
      <x:c r="Q48" s="30" t="str">
        <x:v>Normal</x:v>
      </x:c>
      <x:c r="R48" s="29"/>
      <x:c r="S48" s="28" t="str"/>
      <x:c r="T48" s="29"/>
    </x:row>
    <x:row r="49" ht="25" hidden="0" customHeight="1">
      <x:c r="B49" s="31" t="n">
        <x:v>37</x:v>
      </x:c>
      <x:c r="C49" s="28" t="str">
        <x:v>Cibinong City Mall</x:v>
      </x:c>
      <x:c r="D49" s="28" t="str">
        <x:v>Jakarta &amp; Sekitarnya (Jabodetabek)</x:v>
      </x:c>
      <x:c r="E49" s="28" t="str">
        <x:v>Cibinong</x:v>
      </x:c>
      <x:c r="F49" s="28" t="str">
        <x:v>Jeppy / Marketing</x:v>
      </x:c>
      <x:c r="G49" s="30" t="str">
        <x:v>Pending</x:v>
      </x:c>
      <x:c r="H49" s="30" t="str">
        <x:v>Pending</x:v>
      </x:c>
      <x:c r="I49" s="30" t="str">
        <x:v>Pending</x:v>
      </x:c>
      <x:c r="J49" s="30" t="str">
        <x:v>Pending</x:v>
      </x:c>
      <x:c r="K49" s="30" t="str">
        <x:v>Pending</x:v>
      </x:c>
      <x:c r="L49" s="30" t="str">
        <x:v>Pending</x:v>
      </x:c>
      <x:c r="M49" s="30" t="str">
        <x:v>Pending</x:v>
      </x:c>
      <x:c r="N49" s="30" t="str">
        <x:f>IF(COUNTIF(G49:M49,"Blocked")&gt;0,"Blocked",IF(COUNTIF(G49:M49,"Done")+COUNTIF(G49:M49,"N/A")=7,"Complete",IF(COUNTIF(G49:M49,"Done")&gt;0,"In Progress","Not Started")))</x:f>
        <x:v>Not Started</x:v>
      </x:c>
      <x:c r="O49" s="30" t="str">
        <x:f>IF(N49="Complete","Done",IF(G49&lt;&gt;"Done","Jeppy / Marketing",IF(H49&lt;&gt;"Done","Jeppy / Marketing",IF(I49&lt;&gt;"Done","Creative",IF(J49&lt;&gt;"Done","Creative",IF(K49&lt;&gt;"Done","Malik / VM",IF(L49&lt;&gt;"Done","Erlin / Retail Ops",IF(M49&lt;&gt;"Done","Store PIC / Retail Ops","Done"))))))))</x:f>
        <x:v>Jeppy / Marketing</x:v>
      </x:c>
      <x:c r="P49" s="30" t="str">
        <x:f>IF(N49="Complete","No further action",IF(G49&lt;&gt;"Done","Provide official QR for this store",IF(H49&lt;&gt;"Done","Scan QR and verify store name",IF(I49&lt;&gt;"Done","Send QR to Creative",IF(J49&lt;&gt;"Done","Finalize artwork",IF(K49&lt;&gt;"Done","Approve VM placement",IF(L49&lt;&gt;"Done","Install at store",IF(M49&lt;&gt;"Done","Perform final scan test","No further action"))))))))</x:f>
        <x:v>Provide official QR for this store</x:v>
      </x:c>
      <x:c r="Q49" s="30" t="str">
        <x:v>Normal</x:v>
      </x:c>
      <x:c r="R49" s="29"/>
      <x:c r="S49" s="28" t="str"/>
      <x:c r="T49" s="29"/>
    </x:row>
    <x:row r="50" ht="25" hidden="0" customHeight="1">
      <x:c r="B50" s="31" t="n">
        <x:v>38</x:v>
      </x:c>
      <x:c r="C50" s="28" t="str">
        <x:v>Paris Van Java Lifestyle Resort</x:v>
      </x:c>
      <x:c r="D50" s="28" t="str">
        <x:v>Jawa &amp; Area Lainnya</x:v>
      </x:c>
      <x:c r="E50" s="28" t="str">
        <x:v>Bandung</x:v>
      </x:c>
      <x:c r="F50" s="28" t="str">
        <x:v>Jeppy / Marketing</x:v>
      </x:c>
      <x:c r="G50" s="30" t="str">
        <x:v>Pending</x:v>
      </x:c>
      <x:c r="H50" s="30" t="str">
        <x:v>Pending</x:v>
      </x:c>
      <x:c r="I50" s="30" t="str">
        <x:v>Pending</x:v>
      </x:c>
      <x:c r="J50" s="30" t="str">
        <x:v>Pending</x:v>
      </x:c>
      <x:c r="K50" s="30" t="str">
        <x:v>Pending</x:v>
      </x:c>
      <x:c r="L50" s="30" t="str">
        <x:v>Pending</x:v>
      </x:c>
      <x:c r="M50" s="30" t="str">
        <x:v>Pending</x:v>
      </x:c>
      <x:c r="N50" s="30" t="str">
        <x:f>IF(COUNTIF(G50:M50,"Blocked")&gt;0,"Blocked",IF(COUNTIF(G50:M50,"Done")+COUNTIF(G50:M50,"N/A")=7,"Complete",IF(COUNTIF(G50:M50,"Done")&gt;0,"In Progress","Not Started")))</x:f>
        <x:v>Not Started</x:v>
      </x:c>
      <x:c r="O50" s="30" t="str">
        <x:f>IF(N50="Complete","Done",IF(G50&lt;&gt;"Done","Jeppy / Marketing",IF(H50&lt;&gt;"Done","Jeppy / Marketing",IF(I50&lt;&gt;"Done","Creative",IF(J50&lt;&gt;"Done","Creative",IF(K50&lt;&gt;"Done","Malik / VM",IF(L50&lt;&gt;"Done","Erlin / Retail Ops",IF(M50&lt;&gt;"Done","Store PIC / Retail Ops","Done"))))))))</x:f>
        <x:v>Jeppy / Marketing</x:v>
      </x:c>
      <x:c r="P50" s="30" t="str">
        <x:f>IF(N50="Complete","No further action",IF(G50&lt;&gt;"Done","Provide official QR for this store",IF(H50&lt;&gt;"Done","Scan QR and verify store name",IF(I50&lt;&gt;"Done","Send QR to Creative",IF(J50&lt;&gt;"Done","Finalize artwork",IF(K50&lt;&gt;"Done","Approve VM placement",IF(L50&lt;&gt;"Done","Install at store",IF(M50&lt;&gt;"Done","Perform final scan test","No further action"))))))))</x:f>
        <x:v>Provide official QR for this store</x:v>
      </x:c>
      <x:c r="Q50" s="30" t="str">
        <x:v>Normal</x:v>
      </x:c>
      <x:c r="R50" s="29"/>
      <x:c r="S50" s="28" t="str"/>
      <x:c r="T50" s="29"/>
    </x:row>
    <x:row r="51" ht="25" hidden="0" customHeight="1">
      <x:c r="B51" s="31" t="n">
        <x:v>39</x:v>
      </x:c>
      <x:c r="C51" s="28" t="str">
        <x:v>Summarecon Mall Bandung</x:v>
      </x:c>
      <x:c r="D51" s="28" t="str">
        <x:v>Jawa &amp; Area Lainnya</x:v>
      </x:c>
      <x:c r="E51" s="28" t="str">
        <x:v>Bandung</x:v>
      </x:c>
      <x:c r="F51" s="28" t="str">
        <x:v>Jeppy / Marketing</x:v>
      </x:c>
      <x:c r="G51" s="30" t="str">
        <x:v>Pending</x:v>
      </x:c>
      <x:c r="H51" s="30" t="str">
        <x:v>Pending</x:v>
      </x:c>
      <x:c r="I51" s="30" t="str">
        <x:v>Pending</x:v>
      </x:c>
      <x:c r="J51" s="30" t="str">
        <x:v>Pending</x:v>
      </x:c>
      <x:c r="K51" s="30" t="str">
        <x:v>Pending</x:v>
      </x:c>
      <x:c r="L51" s="30" t="str">
        <x:v>Pending</x:v>
      </x:c>
      <x:c r="M51" s="30" t="str">
        <x:v>Pending</x:v>
      </x:c>
      <x:c r="N51" s="30" t="str">
        <x:f>IF(COUNTIF(G51:M51,"Blocked")&gt;0,"Blocked",IF(COUNTIF(G51:M51,"Done")+COUNTIF(G51:M51,"N/A")=7,"Complete",IF(COUNTIF(G51:M51,"Done")&gt;0,"In Progress","Not Started")))</x:f>
        <x:v>Not Started</x:v>
      </x:c>
      <x:c r="O51" s="30" t="str">
        <x:f>IF(N51="Complete","Done",IF(G51&lt;&gt;"Done","Jeppy / Marketing",IF(H51&lt;&gt;"Done","Jeppy / Marketing",IF(I51&lt;&gt;"Done","Creative",IF(J51&lt;&gt;"Done","Creative",IF(K51&lt;&gt;"Done","Malik / VM",IF(L51&lt;&gt;"Done","Erlin / Retail Ops",IF(M51&lt;&gt;"Done","Store PIC / Retail Ops","Done"))))))))</x:f>
        <x:v>Jeppy / Marketing</x:v>
      </x:c>
      <x:c r="P51" s="30" t="str">
        <x:f>IF(N51="Complete","No further action",IF(G51&lt;&gt;"Done","Provide official QR for this store",IF(H51&lt;&gt;"Done","Scan QR and verify store name",IF(I51&lt;&gt;"Done","Send QR to Creative",IF(J51&lt;&gt;"Done","Finalize artwork",IF(K51&lt;&gt;"Done","Approve VM placement",IF(L51&lt;&gt;"Done","Install at store",IF(M51&lt;&gt;"Done","Perform final scan test","No further action"))))))))</x:f>
        <x:v>Provide official QR for this store</x:v>
      </x:c>
      <x:c r="Q51" s="30" t="str">
        <x:v>Normal</x:v>
      </x:c>
      <x:c r="R51" s="29"/>
      <x:c r="S51" s="28" t="str"/>
      <x:c r="T51" s="29"/>
    </x:row>
    <x:row r="52" ht="25" hidden="0" customHeight="1">
      <x:c r="B52" s="31" t="n">
        <x:v>40</x:v>
      </x:c>
      <x:c r="C52" s="28" t="str">
        <x:v>Pakuwon City Mall</x:v>
      </x:c>
      <x:c r="D52" s="28" t="str">
        <x:v>Jawa &amp; Area Lainnya</x:v>
      </x:c>
      <x:c r="E52" s="28" t="str">
        <x:v>Surabaya</x:v>
      </x:c>
      <x:c r="F52" s="28" t="str">
        <x:v>Jeppy / Marketing</x:v>
      </x:c>
      <x:c r="G52" s="30" t="str">
        <x:v>Pending</x:v>
      </x:c>
      <x:c r="H52" s="30" t="str">
        <x:v>Pending</x:v>
      </x:c>
      <x:c r="I52" s="30" t="str">
        <x:v>Pending</x:v>
      </x:c>
      <x:c r="J52" s="30" t="str">
        <x:v>Pending</x:v>
      </x:c>
      <x:c r="K52" s="30" t="str">
        <x:v>Pending</x:v>
      </x:c>
      <x:c r="L52" s="30" t="str">
        <x:v>Pending</x:v>
      </x:c>
      <x:c r="M52" s="30" t="str">
        <x:v>Pending</x:v>
      </x:c>
      <x:c r="N52" s="30" t="str">
        <x:f>IF(COUNTIF(G52:M52,"Blocked")&gt;0,"Blocked",IF(COUNTIF(G52:M52,"Done")+COUNTIF(G52:M52,"N/A")=7,"Complete",IF(COUNTIF(G52:M52,"Done")&gt;0,"In Progress","Not Started")))</x:f>
        <x:v>Not Started</x:v>
      </x:c>
      <x:c r="O52" s="30" t="str">
        <x:f>IF(N52="Complete","Done",IF(G52&lt;&gt;"Done","Jeppy / Marketing",IF(H52&lt;&gt;"Done","Jeppy / Marketing",IF(I52&lt;&gt;"Done","Creative",IF(J52&lt;&gt;"Done","Creative",IF(K52&lt;&gt;"Done","Malik / VM",IF(L52&lt;&gt;"Done","Erlin / Retail Ops",IF(M52&lt;&gt;"Done","Store PIC / Retail Ops","Done"))))))))</x:f>
        <x:v>Jeppy / Marketing</x:v>
      </x:c>
      <x:c r="P52" s="30" t="str">
        <x:f>IF(N52="Complete","No further action",IF(G52&lt;&gt;"Done","Provide official QR for this store",IF(H52&lt;&gt;"Done","Scan QR and verify store name",IF(I52&lt;&gt;"Done","Send QR to Creative",IF(J52&lt;&gt;"Done","Finalize artwork",IF(K52&lt;&gt;"Done","Approve VM placement",IF(L52&lt;&gt;"Done","Install at store",IF(M52&lt;&gt;"Done","Perform final scan test","No further action"))))))))</x:f>
        <x:v>Provide official QR for this store</x:v>
      </x:c>
      <x:c r="Q52" s="30" t="str">
        <x:v>Normal</x:v>
      </x:c>
      <x:c r="R52" s="29"/>
      <x:c r="S52" s="28" t="str"/>
      <x:c r="T52" s="29"/>
    </x:row>
    <x:row r="53" ht="25" hidden="0" customHeight="1">
      <x:c r="B53" s="31" t="n">
        <x:v>41</x:v>
      </x:c>
      <x:c r="C53" s="28" t="str">
        <x:v>Pakuwon Mall Surabaya</x:v>
      </x:c>
      <x:c r="D53" s="28" t="str">
        <x:v>Jawa &amp; Area Lainnya</x:v>
      </x:c>
      <x:c r="E53" s="28" t="str">
        <x:v>Surabaya</x:v>
      </x:c>
      <x:c r="F53" s="28" t="str">
        <x:v>Jeppy / Marketing</x:v>
      </x:c>
      <x:c r="G53" s="30" t="str">
        <x:v>Pending</x:v>
      </x:c>
      <x:c r="H53" s="30" t="str">
        <x:v>Pending</x:v>
      </x:c>
      <x:c r="I53" s="30" t="str">
        <x:v>Pending</x:v>
      </x:c>
      <x:c r="J53" s="30" t="str">
        <x:v>Pending</x:v>
      </x:c>
      <x:c r="K53" s="30" t="str">
        <x:v>Pending</x:v>
      </x:c>
      <x:c r="L53" s="30" t="str">
        <x:v>Pending</x:v>
      </x:c>
      <x:c r="M53" s="30" t="str">
        <x:v>Pending</x:v>
      </x:c>
      <x:c r="N53" s="30" t="str">
        <x:f>IF(COUNTIF(G53:M53,"Blocked")&gt;0,"Blocked",IF(COUNTIF(G53:M53,"Done")+COUNTIF(G53:M53,"N/A")=7,"Complete",IF(COUNTIF(G53:M53,"Done")&gt;0,"In Progress","Not Started")))</x:f>
        <x:v>Not Started</x:v>
      </x:c>
      <x:c r="O53" s="30" t="str">
        <x:f>IF(N53="Complete","Done",IF(G53&lt;&gt;"Done","Jeppy / Marketing",IF(H53&lt;&gt;"Done","Jeppy / Marketing",IF(I53&lt;&gt;"Done","Creative",IF(J53&lt;&gt;"Done","Creative",IF(K53&lt;&gt;"Done","Malik / VM",IF(L53&lt;&gt;"Done","Erlin / Retail Ops",IF(M53&lt;&gt;"Done","Store PIC / Retail Ops","Done"))))))))</x:f>
        <x:v>Jeppy / Marketing</x:v>
      </x:c>
      <x:c r="P53" s="30" t="str">
        <x:f>IF(N53="Complete","No further action",IF(G53&lt;&gt;"Done","Provide official QR for this store",IF(H53&lt;&gt;"Done","Scan QR and verify store name",IF(I53&lt;&gt;"Done","Send QR to Creative",IF(J53&lt;&gt;"Done","Finalize artwork",IF(K53&lt;&gt;"Done","Approve VM placement",IF(L53&lt;&gt;"Done","Install at store",IF(M53&lt;&gt;"Done","Perform final scan test","No further action"))))))))</x:f>
        <x:v>Provide official QR for this store</x:v>
      </x:c>
      <x:c r="Q53" s="30" t="str">
        <x:v>Normal</x:v>
      </x:c>
      <x:c r="R53" s="29"/>
      <x:c r="S53" s="28" t="str"/>
      <x:c r="T53" s="29"/>
    </x:row>
    <x:row r="54" ht="25" hidden="0" customHeight="1">
      <x:c r="B54" s="31" t="n">
        <x:v>42</x:v>
      </x:c>
      <x:c r="C54" s="28" t="str">
        <x:v>Tunjungan Plaza 3</x:v>
      </x:c>
      <x:c r="D54" s="28" t="str">
        <x:v>Jawa &amp; Area Lainnya</x:v>
      </x:c>
      <x:c r="E54" s="28" t="str">
        <x:v>Surabaya</x:v>
      </x:c>
      <x:c r="F54" s="28" t="str">
        <x:v>Jeppy / Marketing</x:v>
      </x:c>
      <x:c r="G54" s="30" t="str">
        <x:v>Pending</x:v>
      </x:c>
      <x:c r="H54" s="30" t="str">
        <x:v>Pending</x:v>
      </x:c>
      <x:c r="I54" s="30" t="str">
        <x:v>Pending</x:v>
      </x:c>
      <x:c r="J54" s="30" t="str">
        <x:v>Pending</x:v>
      </x:c>
      <x:c r="K54" s="30" t="str">
        <x:v>Pending</x:v>
      </x:c>
      <x:c r="L54" s="30" t="str">
        <x:v>Pending</x:v>
      </x:c>
      <x:c r="M54" s="30" t="str">
        <x:v>Pending</x:v>
      </x:c>
      <x:c r="N54" s="30" t="str">
        <x:f>IF(COUNTIF(G54:M54,"Blocked")&gt;0,"Blocked",IF(COUNTIF(G54:M54,"Done")+COUNTIF(G54:M54,"N/A")=7,"Complete",IF(COUNTIF(G54:M54,"Done")&gt;0,"In Progress","Not Started")))</x:f>
        <x:v>Not Started</x:v>
      </x:c>
      <x:c r="O54" s="30" t="str">
        <x:f>IF(N54="Complete","Done",IF(G54&lt;&gt;"Done","Jeppy / Marketing",IF(H54&lt;&gt;"Done","Jeppy / Marketing",IF(I54&lt;&gt;"Done","Creative",IF(J54&lt;&gt;"Done","Creative",IF(K54&lt;&gt;"Done","Malik / VM",IF(L54&lt;&gt;"Done","Erlin / Retail Ops",IF(M54&lt;&gt;"Done","Store PIC / Retail Ops","Done"))))))))</x:f>
        <x:v>Jeppy / Marketing</x:v>
      </x:c>
      <x:c r="P54" s="30" t="str">
        <x:f>IF(N54="Complete","No further action",IF(G54&lt;&gt;"Done","Provide official QR for this store",IF(H54&lt;&gt;"Done","Scan QR and verify store name",IF(I54&lt;&gt;"Done","Send QR to Creative",IF(J54&lt;&gt;"Done","Finalize artwork",IF(K54&lt;&gt;"Done","Approve VM placement",IF(L54&lt;&gt;"Done","Install at store",IF(M54&lt;&gt;"Done","Perform final scan test","No further action"))))))))</x:f>
        <x:v>Provide official QR for this store</x:v>
      </x:c>
      <x:c r="Q54" s="30" t="str">
        <x:v>Normal</x:v>
      </x:c>
      <x:c r="R54" s="29"/>
      <x:c r="S54" s="28" t="str"/>
      <x:c r="T54" s="29"/>
    </x:row>
    <x:row r="55" ht="25" hidden="0" customHeight="1">
      <x:c r="B55" s="31" t="n">
        <x:v>43</x:v>
      </x:c>
      <x:c r="C55" s="28" t="str">
        <x:v>23 Semarang Shopping Center</x:v>
      </x:c>
      <x:c r="D55" s="28" t="str">
        <x:v>Jawa &amp; Area Lainnya</x:v>
      </x:c>
      <x:c r="E55" s="28" t="str">
        <x:v>Semarang</x:v>
      </x:c>
      <x:c r="F55" s="28" t="str">
        <x:v>Jeppy / Marketing</x:v>
      </x:c>
      <x:c r="G55" s="30" t="str">
        <x:v>Pending</x:v>
      </x:c>
      <x:c r="H55" s="30" t="str">
        <x:v>Pending</x:v>
      </x:c>
      <x:c r="I55" s="30" t="str">
        <x:v>Pending</x:v>
      </x:c>
      <x:c r="J55" s="30" t="str">
        <x:v>Pending</x:v>
      </x:c>
      <x:c r="K55" s="30" t="str">
        <x:v>Pending</x:v>
      </x:c>
      <x:c r="L55" s="30" t="str">
        <x:v>Pending</x:v>
      </x:c>
      <x:c r="M55" s="30" t="str">
        <x:v>Pending</x:v>
      </x:c>
      <x:c r="N55" s="30" t="str">
        <x:f>IF(COUNTIF(G55:M55,"Blocked")&gt;0,"Blocked",IF(COUNTIF(G55:M55,"Done")+COUNTIF(G55:M55,"N/A")=7,"Complete",IF(COUNTIF(G55:M55,"Done")&gt;0,"In Progress","Not Started")))</x:f>
        <x:v>Not Started</x:v>
      </x:c>
      <x:c r="O55" s="30" t="str">
        <x:f>IF(N55="Complete","Done",IF(G55&lt;&gt;"Done","Jeppy / Marketing",IF(H55&lt;&gt;"Done","Jeppy / Marketing",IF(I55&lt;&gt;"Done","Creative",IF(J55&lt;&gt;"Done","Creative",IF(K55&lt;&gt;"Done","Malik / VM",IF(L55&lt;&gt;"Done","Erlin / Retail Ops",IF(M55&lt;&gt;"Done","Store PIC / Retail Ops","Done"))))))))</x:f>
        <x:v>Jeppy / Marketing</x:v>
      </x:c>
      <x:c r="P55" s="30" t="str">
        <x:f>IF(N55="Complete","No further action",IF(G55&lt;&gt;"Done","Provide official QR for this store",IF(H55&lt;&gt;"Done","Scan QR and verify store name",IF(I55&lt;&gt;"Done","Send QR to Creative",IF(J55&lt;&gt;"Done","Finalize artwork",IF(K55&lt;&gt;"Done","Approve VM placement",IF(L55&lt;&gt;"Done","Install at store",IF(M55&lt;&gt;"Done","Perform final scan test","No further action"))))))))</x:f>
        <x:v>Provide official QR for this store</x:v>
      </x:c>
      <x:c r="Q55" s="30" t="str">
        <x:v>Normal</x:v>
      </x:c>
      <x:c r="R55" s="29"/>
      <x:c r="S55" s="28" t="str"/>
      <x:c r="T55" s="29"/>
    </x:row>
    <x:row r="56" ht="25" hidden="0" customHeight="1">
      <x:c r="B56" s="31" t="n">
        <x:v>44</x:v>
      </x:c>
      <x:c r="C56" s="28" t="str">
        <x:v>Pakuwon Mall Jogja</x:v>
      </x:c>
      <x:c r="D56" s="28" t="str">
        <x:v>Jawa &amp; Area Lainnya</x:v>
      </x:c>
      <x:c r="E56" s="28" t="str">
        <x:v>Yogyakarta</x:v>
      </x:c>
      <x:c r="F56" s="28" t="str">
        <x:v>Jeppy / Marketing</x:v>
      </x:c>
      <x:c r="G56" s="30" t="str">
        <x:v>Pending</x:v>
      </x:c>
      <x:c r="H56" s="30" t="str">
        <x:v>Pending</x:v>
      </x:c>
      <x:c r="I56" s="30" t="str">
        <x:v>Pending</x:v>
      </x:c>
      <x:c r="J56" s="30" t="str">
        <x:v>Pending</x:v>
      </x:c>
      <x:c r="K56" s="30" t="str">
        <x:v>Pending</x:v>
      </x:c>
      <x:c r="L56" s="30" t="str">
        <x:v>Pending</x:v>
      </x:c>
      <x:c r="M56" s="30" t="str">
        <x:v>Pending</x:v>
      </x:c>
      <x:c r="N56" s="30" t="str">
        <x:f>IF(COUNTIF(G56:M56,"Blocked")&gt;0,"Blocked",IF(COUNTIF(G56:M56,"Done")+COUNTIF(G56:M56,"N/A")=7,"Complete",IF(COUNTIF(G56:M56,"Done")&gt;0,"In Progress","Not Started")))</x:f>
        <x:v>Not Started</x:v>
      </x:c>
      <x:c r="O56" s="30" t="str">
        <x:f>IF(N56="Complete","Done",IF(G56&lt;&gt;"Done","Jeppy / Marketing",IF(H56&lt;&gt;"Done","Jeppy / Marketing",IF(I56&lt;&gt;"Done","Creative",IF(J56&lt;&gt;"Done","Creative",IF(K56&lt;&gt;"Done","Malik / VM",IF(L56&lt;&gt;"Done","Erlin / Retail Ops",IF(M56&lt;&gt;"Done","Store PIC / Retail Ops","Done"))))))))</x:f>
        <x:v>Jeppy / Marketing</x:v>
      </x:c>
      <x:c r="P56" s="30" t="str">
        <x:f>IF(N56="Complete","No further action",IF(G56&lt;&gt;"Done","Provide official QR for this store",IF(H56&lt;&gt;"Done","Scan QR and verify store name",IF(I56&lt;&gt;"Done","Send QR to Creative",IF(J56&lt;&gt;"Done","Finalize artwork",IF(K56&lt;&gt;"Done","Approve VM placement",IF(L56&lt;&gt;"Done","Install at store",IF(M56&lt;&gt;"Done","Perform final scan test","No further action"))))))))</x:f>
        <x:v>Provide official QR for this store</x:v>
      </x:c>
      <x:c r="Q56" s="30" t="str">
        <x:v>Normal</x:v>
      </x:c>
      <x:c r="R56" s="29"/>
      <x:c r="S56" s="28" t="str"/>
      <x:c r="T56" s="29"/>
    </x:row>
    <x:row r="57" ht="25" hidden="0" customHeight="1">
      <x:c r="B57" s="31" t="n">
        <x:v>45</x:v>
      </x:c>
      <x:c r="C57" s="28" t="str">
        <x:v>Delipark Mall</x:v>
      </x:c>
      <x:c r="D57" s="28" t="str">
        <x:v>Sumatera, Sulawesi, &amp; Nusa Tenggara</x:v>
      </x:c>
      <x:c r="E57" s="28" t="str">
        <x:v>Medan</x:v>
      </x:c>
      <x:c r="F57" s="28" t="str">
        <x:v>Jeppy / Marketing</x:v>
      </x:c>
      <x:c r="G57" s="30" t="str">
        <x:v>Pending</x:v>
      </x:c>
      <x:c r="H57" s="30" t="str">
        <x:v>Pending</x:v>
      </x:c>
      <x:c r="I57" s="30" t="str">
        <x:v>Pending</x:v>
      </x:c>
      <x:c r="J57" s="30" t="str">
        <x:v>Pending</x:v>
      </x:c>
      <x:c r="K57" s="30" t="str">
        <x:v>Pending</x:v>
      </x:c>
      <x:c r="L57" s="30" t="str">
        <x:v>Pending</x:v>
      </x:c>
      <x:c r="M57" s="30" t="str">
        <x:v>Pending</x:v>
      </x:c>
      <x:c r="N57" s="30" t="str">
        <x:f>IF(COUNTIF(G57:M57,"Blocked")&gt;0,"Blocked",IF(COUNTIF(G57:M57,"Done")+COUNTIF(G57:M57,"N/A")=7,"Complete",IF(COUNTIF(G57:M57,"Done")&gt;0,"In Progress","Not Started")))</x:f>
        <x:v>Not Started</x:v>
      </x:c>
      <x:c r="O57" s="30" t="str">
        <x:f>IF(N57="Complete","Done",IF(G57&lt;&gt;"Done","Jeppy / Marketing",IF(H57&lt;&gt;"Done","Jeppy / Marketing",IF(I57&lt;&gt;"Done","Creative",IF(J57&lt;&gt;"Done","Creative",IF(K57&lt;&gt;"Done","Malik / VM",IF(L57&lt;&gt;"Done","Erlin / Retail Ops",IF(M57&lt;&gt;"Done","Store PIC / Retail Ops","Done"))))))))</x:f>
        <x:v>Jeppy / Marketing</x:v>
      </x:c>
      <x:c r="P57" s="30" t="str">
        <x:f>IF(N57="Complete","No further action",IF(G57&lt;&gt;"Done","Provide official QR for this store",IF(H57&lt;&gt;"Done","Scan QR and verify store name",IF(I57&lt;&gt;"Done","Send QR to Creative",IF(J57&lt;&gt;"Done","Finalize artwork",IF(K57&lt;&gt;"Done","Approve VM placement",IF(L57&lt;&gt;"Done","Install at store",IF(M57&lt;&gt;"Done","Perform final scan test","No further action"))))))))</x:f>
        <x:v>Provide official QR for this store</x:v>
      </x:c>
      <x:c r="Q57" s="30" t="str">
        <x:v>Normal</x:v>
      </x:c>
      <x:c r="R57" s="29"/>
      <x:c r="S57" s="28" t="str"/>
      <x:c r="T57" s="29"/>
    </x:row>
    <x:row r="58" ht="25" hidden="0" customHeight="1">
      <x:c r="B58" s="31" t="n">
        <x:v>46</x:v>
      </x:c>
      <x:c r="C58" s="28" t="str">
        <x:v>Sun Plaza</x:v>
      </x:c>
      <x:c r="D58" s="28" t="str">
        <x:v>Sumatera, Sulawesi, &amp; Nusa Tenggara</x:v>
      </x:c>
      <x:c r="E58" s="28" t="str">
        <x:v>Medan</x:v>
      </x:c>
      <x:c r="F58" s="28" t="str">
        <x:v>Jeppy / Marketing</x:v>
      </x:c>
      <x:c r="G58" s="30" t="str">
        <x:v>Pending</x:v>
      </x:c>
      <x:c r="H58" s="30" t="str">
        <x:v>Pending</x:v>
      </x:c>
      <x:c r="I58" s="30" t="str">
        <x:v>Pending</x:v>
      </x:c>
      <x:c r="J58" s="30" t="str">
        <x:v>Pending</x:v>
      </x:c>
      <x:c r="K58" s="30" t="str">
        <x:v>Pending</x:v>
      </x:c>
      <x:c r="L58" s="30" t="str">
        <x:v>Pending</x:v>
      </x:c>
      <x:c r="M58" s="30" t="str">
        <x:v>Pending</x:v>
      </x:c>
      <x:c r="N58" s="30" t="str">
        <x:f>IF(COUNTIF(G58:M58,"Blocked")&gt;0,"Blocked",IF(COUNTIF(G58:M58,"Done")+COUNTIF(G58:M58,"N/A")=7,"Complete",IF(COUNTIF(G58:M58,"Done")&gt;0,"In Progress","Not Started")))</x:f>
        <x:v>Not Started</x:v>
      </x:c>
      <x:c r="O58" s="30" t="str">
        <x:f>IF(N58="Complete","Done",IF(G58&lt;&gt;"Done","Jeppy / Marketing",IF(H58&lt;&gt;"Done","Jeppy / Marketing",IF(I58&lt;&gt;"Done","Creative",IF(J58&lt;&gt;"Done","Creative",IF(K58&lt;&gt;"Done","Malik / VM",IF(L58&lt;&gt;"Done","Erlin / Retail Ops",IF(M58&lt;&gt;"Done","Store PIC / Retail Ops","Done"))))))))</x:f>
        <x:v>Jeppy / Marketing</x:v>
      </x:c>
      <x:c r="P58" s="30" t="str">
        <x:f>IF(N58="Complete","No further action",IF(G58&lt;&gt;"Done","Provide official QR for this store",IF(H58&lt;&gt;"Done","Scan QR and verify store name",IF(I58&lt;&gt;"Done","Send QR to Creative",IF(J58&lt;&gt;"Done","Finalize artwork",IF(K58&lt;&gt;"Done","Approve VM placement",IF(L58&lt;&gt;"Done","Install at store",IF(M58&lt;&gt;"Done","Perform final scan test","No further action"))))))))</x:f>
        <x:v>Provide official QR for this store</x:v>
      </x:c>
      <x:c r="Q58" s="30" t="str">
        <x:v>Normal</x:v>
      </x:c>
      <x:c r="R58" s="29"/>
      <x:c r="S58" s="28" t="str"/>
      <x:c r="T58" s="29"/>
    </x:row>
    <x:row r="59" ht="25" hidden="0" customHeight="1">
      <x:c r="B59" s="31" t="n">
        <x:v>47</x:v>
      </x:c>
      <x:c r="C59" s="28" t="str">
        <x:v>One Batam Mall</x:v>
      </x:c>
      <x:c r="D59" s="28" t="str">
        <x:v>Sumatera, Sulawesi, &amp; Nusa Tenggara</x:v>
      </x:c>
      <x:c r="E59" s="28" t="str">
        <x:v>Batam</x:v>
      </x:c>
      <x:c r="F59" s="28" t="str">
        <x:v>Jeppy / Marketing</x:v>
      </x:c>
      <x:c r="G59" s="30" t="str">
        <x:v>Pending</x:v>
      </x:c>
      <x:c r="H59" s="30" t="str">
        <x:v>Pending</x:v>
      </x:c>
      <x:c r="I59" s="30" t="str">
        <x:v>Pending</x:v>
      </x:c>
      <x:c r="J59" s="30" t="str">
        <x:v>Pending</x:v>
      </x:c>
      <x:c r="K59" s="30" t="str">
        <x:v>Pending</x:v>
      </x:c>
      <x:c r="L59" s="30" t="str">
        <x:v>Pending</x:v>
      </x:c>
      <x:c r="M59" s="30" t="str">
        <x:v>Pending</x:v>
      </x:c>
      <x:c r="N59" s="30" t="str">
        <x:f>IF(COUNTIF(G59:M59,"Blocked")&gt;0,"Blocked",IF(COUNTIF(G59:M59,"Done")+COUNTIF(G59:M59,"N/A")=7,"Complete",IF(COUNTIF(G59:M59,"Done")&gt;0,"In Progress","Not Started")))</x:f>
        <x:v>Not Started</x:v>
      </x:c>
      <x:c r="O59" s="30" t="str">
        <x:f>IF(N59="Complete","Done",IF(G59&lt;&gt;"Done","Jeppy / Marketing",IF(H59&lt;&gt;"Done","Jeppy / Marketing",IF(I59&lt;&gt;"Done","Creative",IF(J59&lt;&gt;"Done","Creative",IF(K59&lt;&gt;"Done","Malik / VM",IF(L59&lt;&gt;"Done","Erlin / Retail Ops",IF(M59&lt;&gt;"Done","Store PIC / Retail Ops","Done"))))))))</x:f>
        <x:v>Jeppy / Marketing</x:v>
      </x:c>
      <x:c r="P59" s="30" t="str">
        <x:f>IF(N59="Complete","No further action",IF(G59&lt;&gt;"Done","Provide official QR for this store",IF(H59&lt;&gt;"Done","Scan QR and verify store name",IF(I59&lt;&gt;"Done","Send QR to Creative",IF(J59&lt;&gt;"Done","Finalize artwork",IF(K59&lt;&gt;"Done","Approve VM placement",IF(L59&lt;&gt;"Done","Install at store",IF(M59&lt;&gt;"Done","Perform final scan test","No further action"))))))))</x:f>
        <x:v>Provide official QR for this store</x:v>
      </x:c>
      <x:c r="Q59" s="30" t="str">
        <x:v>Normal</x:v>
      </x:c>
      <x:c r="R59" s="29"/>
      <x:c r="S59" s="28" t="str"/>
      <x:c r="T59" s="29"/>
    </x:row>
    <x:row r="60" ht="25" hidden="0" customHeight="1">
      <x:c r="B60" s="31" t="n">
        <x:v>48</x:v>
      </x:c>
      <x:c r="C60" s="28" t="str">
        <x:v>Palembang Indah Mall</x:v>
      </x:c>
      <x:c r="D60" s="28" t="str">
        <x:v>Sumatera, Sulawesi, &amp; Nusa Tenggara</x:v>
      </x:c>
      <x:c r="E60" s="28" t="str">
        <x:v>Palembang</x:v>
      </x:c>
      <x:c r="F60" s="28" t="str">
        <x:v>Jeppy / Marketing</x:v>
      </x:c>
      <x:c r="G60" s="30" t="str">
        <x:v>Pending</x:v>
      </x:c>
      <x:c r="H60" s="30" t="str">
        <x:v>Pending</x:v>
      </x:c>
      <x:c r="I60" s="30" t="str">
        <x:v>Pending</x:v>
      </x:c>
      <x:c r="J60" s="30" t="str">
        <x:v>Pending</x:v>
      </x:c>
      <x:c r="K60" s="30" t="str">
        <x:v>Pending</x:v>
      </x:c>
      <x:c r="L60" s="30" t="str">
        <x:v>Pending</x:v>
      </x:c>
      <x:c r="M60" s="30" t="str">
        <x:v>Pending</x:v>
      </x:c>
      <x:c r="N60" s="30" t="str">
        <x:f>IF(COUNTIF(G60:M60,"Blocked")&gt;0,"Blocked",IF(COUNTIF(G60:M60,"Done")+COUNTIF(G60:M60,"N/A")=7,"Complete",IF(COUNTIF(G60:M60,"Done")&gt;0,"In Progress","Not Started")))</x:f>
        <x:v>Not Started</x:v>
      </x:c>
      <x:c r="O60" s="30" t="str">
        <x:f>IF(N60="Complete","Done",IF(G60&lt;&gt;"Done","Jeppy / Marketing",IF(H60&lt;&gt;"Done","Jeppy / Marketing",IF(I60&lt;&gt;"Done","Creative",IF(J60&lt;&gt;"Done","Creative",IF(K60&lt;&gt;"Done","Malik / VM",IF(L60&lt;&gt;"Done","Erlin / Retail Ops",IF(M60&lt;&gt;"Done","Store PIC / Retail Ops","Done"))))))))</x:f>
        <x:v>Jeppy / Marketing</x:v>
      </x:c>
      <x:c r="P60" s="30" t="str">
        <x:f>IF(N60="Complete","No further action",IF(G60&lt;&gt;"Done","Provide official QR for this store",IF(H60&lt;&gt;"Done","Scan QR and verify store name",IF(I60&lt;&gt;"Done","Send QR to Creative",IF(J60&lt;&gt;"Done","Finalize artwork",IF(K60&lt;&gt;"Done","Approve VM placement",IF(L60&lt;&gt;"Done","Install at store",IF(M60&lt;&gt;"Done","Perform final scan test","No further action"))))))))</x:f>
        <x:v>Provide official QR for this store</x:v>
      </x:c>
      <x:c r="Q60" s="30" t="str">
        <x:v>Normal</x:v>
      </x:c>
      <x:c r="R60" s="29"/>
      <x:c r="S60" s="28" t="str"/>
      <x:c r="T60" s="29"/>
    </x:row>
    <x:row r="61" ht="25" hidden="0" customHeight="1">
      <x:c r="B61" s="31" t="n">
        <x:v>49</x:v>
      </x:c>
      <x:c r="C61" s="28" t="str">
        <x:v>Mal Ratu Indah</x:v>
      </x:c>
      <x:c r="D61" s="28" t="str">
        <x:v>Sumatera, Sulawesi, &amp; Nusa Tenggara</x:v>
      </x:c>
      <x:c r="E61" s="28" t="str">
        <x:v>Makassar</x:v>
      </x:c>
      <x:c r="F61" s="28" t="str">
        <x:v>Jeppy / Marketing</x:v>
      </x:c>
      <x:c r="G61" s="30" t="str">
        <x:v>Pending</x:v>
      </x:c>
      <x:c r="H61" s="30" t="str">
        <x:v>Pending</x:v>
      </x:c>
      <x:c r="I61" s="30" t="str">
        <x:v>Pending</x:v>
      </x:c>
      <x:c r="J61" s="30" t="str">
        <x:v>Pending</x:v>
      </x:c>
      <x:c r="K61" s="30" t="str">
        <x:v>Pending</x:v>
      </x:c>
      <x:c r="L61" s="30" t="str">
        <x:v>Pending</x:v>
      </x:c>
      <x:c r="M61" s="30" t="str">
        <x:v>Pending</x:v>
      </x:c>
      <x:c r="N61" s="30" t="str">
        <x:f>IF(COUNTIF(G61:M61,"Blocked")&gt;0,"Blocked",IF(COUNTIF(G61:M61,"Done")+COUNTIF(G61:M61,"N/A")=7,"Complete",IF(COUNTIF(G61:M61,"Done")&gt;0,"In Progress","Not Started")))</x:f>
        <x:v>Not Started</x:v>
      </x:c>
      <x:c r="O61" s="30" t="str">
        <x:f>IF(N61="Complete","Done",IF(G61&lt;&gt;"Done","Jeppy / Marketing",IF(H61&lt;&gt;"Done","Jeppy / Marketing",IF(I61&lt;&gt;"Done","Creative",IF(J61&lt;&gt;"Done","Creative",IF(K61&lt;&gt;"Done","Malik / VM",IF(L61&lt;&gt;"Done","Erlin / Retail Ops",IF(M61&lt;&gt;"Done","Store PIC / Retail Ops","Done"))))))))</x:f>
        <x:v>Jeppy / Marketing</x:v>
      </x:c>
      <x:c r="P61" s="30" t="str">
        <x:f>IF(N61="Complete","No further action",IF(G61&lt;&gt;"Done","Provide official QR for this store",IF(H61&lt;&gt;"Done","Scan QR and verify store name",IF(I61&lt;&gt;"Done","Send QR to Creative",IF(J61&lt;&gt;"Done","Finalize artwork",IF(K61&lt;&gt;"Done","Approve VM placement",IF(L61&lt;&gt;"Done","Install at store",IF(M61&lt;&gt;"Done","Perform final scan test","No further action"))))))))</x:f>
        <x:v>Provide official QR for this store</x:v>
      </x:c>
      <x:c r="Q61" s="30" t="str">
        <x:v>Normal</x:v>
      </x:c>
      <x:c r="R61" s="29"/>
      <x:c r="S61" s="28" t="str"/>
      <x:c r="T61" s="29"/>
    </x:row>
    <x:row r="62" ht="25" hidden="0" customHeight="1">
      <x:c r="B62" s="31" t="n">
        <x:v>50</x:v>
      </x:c>
      <x:c r="C62" s="28" t="str">
        <x:v>Trans Studio Mall Makassar</x:v>
      </x:c>
      <x:c r="D62" s="28" t="str">
        <x:v>Sumatera, Sulawesi, &amp; Nusa Tenggara</x:v>
      </x:c>
      <x:c r="E62" s="28" t="str">
        <x:v>Makassar</x:v>
      </x:c>
      <x:c r="F62" s="28" t="str">
        <x:v>Jeppy / Marketing</x:v>
      </x:c>
      <x:c r="G62" s="30" t="str">
        <x:v>Pending</x:v>
      </x:c>
      <x:c r="H62" s="30" t="str">
        <x:v>Pending</x:v>
      </x:c>
      <x:c r="I62" s="30" t="str">
        <x:v>Pending</x:v>
      </x:c>
      <x:c r="J62" s="30" t="str">
        <x:v>Pending</x:v>
      </x:c>
      <x:c r="K62" s="30" t="str">
        <x:v>Pending</x:v>
      </x:c>
      <x:c r="L62" s="30" t="str">
        <x:v>Pending</x:v>
      </x:c>
      <x:c r="M62" s="30" t="str">
        <x:v>Pending</x:v>
      </x:c>
      <x:c r="N62" s="30" t="str">
        <x:f>IF(COUNTIF(G62:M62,"Blocked")&gt;0,"Blocked",IF(COUNTIF(G62:M62,"Done")+COUNTIF(G62:M62,"N/A")=7,"Complete",IF(COUNTIF(G62:M62,"Done")&gt;0,"In Progress","Not Started")))</x:f>
        <x:v>Not Started</x:v>
      </x:c>
      <x:c r="O62" s="30" t="str">
        <x:f>IF(N62="Complete","Done",IF(G62&lt;&gt;"Done","Jeppy / Marketing",IF(H62&lt;&gt;"Done","Jeppy / Marketing",IF(I62&lt;&gt;"Done","Creative",IF(J62&lt;&gt;"Done","Creative",IF(K62&lt;&gt;"Done","Malik / VM",IF(L62&lt;&gt;"Done","Erlin / Retail Ops",IF(M62&lt;&gt;"Done","Store PIC / Retail Ops","Done"))))))))</x:f>
        <x:v>Jeppy / Marketing</x:v>
      </x:c>
      <x:c r="P62" s="30" t="str">
        <x:f>IF(N62="Complete","No further action",IF(G62&lt;&gt;"Done","Provide official QR for this store",IF(H62&lt;&gt;"Done","Scan QR and verify store name",IF(I62&lt;&gt;"Done","Send QR to Creative",IF(J62&lt;&gt;"Done","Finalize artwork",IF(K62&lt;&gt;"Done","Approve VM placement",IF(L62&lt;&gt;"Done","Install at store",IF(M62&lt;&gt;"Done","Perform final scan test","No further action"))))))))</x:f>
        <x:v>Provide official QR for this store</x:v>
      </x:c>
      <x:c r="Q62" s="30" t="str">
        <x:v>Normal</x:v>
      </x:c>
      <x:c r="R62" s="29"/>
      <x:c r="S62" s="28" t="str"/>
      <x:c r="T62" s="29"/>
    </x:row>
    <x:row r="63" ht="25" hidden="0" customHeight="1">
      <x:c r="B63" s="31" t="n">
        <x:v>51</x:v>
      </x:c>
      <x:c r="C63" s="28" t="str">
        <x:v>Lombok Epicentrum Mall</x:v>
      </x:c>
      <x:c r="D63" s="28" t="str">
        <x:v>Sumatera, Sulawesi, &amp; Nusa Tenggara</x:v>
      </x:c>
      <x:c r="E63" s="28" t="str">
        <x:v>Lombok</x:v>
      </x:c>
      <x:c r="F63" s="28" t="str">
        <x:v>Jeppy / Marketing</x:v>
      </x:c>
      <x:c r="G63" s="30" t="str">
        <x:v>Pending</x:v>
      </x:c>
      <x:c r="H63" s="30" t="str">
        <x:v>Pending</x:v>
      </x:c>
      <x:c r="I63" s="30" t="str">
        <x:v>Pending</x:v>
      </x:c>
      <x:c r="J63" s="30" t="str">
        <x:v>Pending</x:v>
      </x:c>
      <x:c r="K63" s="30" t="str">
        <x:v>Pending</x:v>
      </x:c>
      <x:c r="L63" s="30" t="str">
        <x:v>Pending</x:v>
      </x:c>
      <x:c r="M63" s="30" t="str">
        <x:v>Pending</x:v>
      </x:c>
      <x:c r="N63" s="30" t="str">
        <x:f>IF(COUNTIF(G63:M63,"Blocked")&gt;0,"Blocked",IF(COUNTIF(G63:M63,"Done")+COUNTIF(G63:M63,"N/A")=7,"Complete",IF(COUNTIF(G63:M63,"Done")&gt;0,"In Progress","Not Started")))</x:f>
        <x:v>Not Started</x:v>
      </x:c>
      <x:c r="O63" s="30" t="str">
        <x:f>IF(N63="Complete","Done",IF(G63&lt;&gt;"Done","Jeppy / Marketing",IF(H63&lt;&gt;"Done","Jeppy / Marketing",IF(I63&lt;&gt;"Done","Creative",IF(J63&lt;&gt;"Done","Creative",IF(K63&lt;&gt;"Done","Malik / VM",IF(L63&lt;&gt;"Done","Erlin / Retail Ops",IF(M63&lt;&gt;"Done","Store PIC / Retail Ops","Done"))))))))</x:f>
        <x:v>Jeppy / Marketing</x:v>
      </x:c>
      <x:c r="P63" s="30" t="str">
        <x:f>IF(N63="Complete","No further action",IF(G63&lt;&gt;"Done","Provide official QR for this store",IF(H63&lt;&gt;"Done","Scan QR and verify store name",IF(I63&lt;&gt;"Done","Send QR to Creative",IF(J63&lt;&gt;"Done","Finalize artwork",IF(K63&lt;&gt;"Done","Approve VM placement",IF(L63&lt;&gt;"Done","Install at store",IF(M63&lt;&gt;"Done","Perform final scan test","No further action"))))))))</x:f>
        <x:v>Provide official QR for this store</x:v>
      </x:c>
      <x:c r="Q63" s="30" t="str">
        <x:v>Normal</x:v>
      </x:c>
      <x:c r="R63" s="29"/>
      <x:c r="S63" s="28" t="str"/>
      <x:c r="T63" s="29"/>
    </x:row>
    <x:row r="64" ht="25" hidden="0" customHeight="1">
      <x:c r="B64" s="31" t="n">
        <x:v>52</x:v>
      </x:c>
      <x:c r="C64" s="28" t="str">
        <x:v>Mawatu at Labuan Bajo</x:v>
      </x:c>
      <x:c r="D64" s="28" t="str">
        <x:v>Sumatera, Sulawesi, &amp; Nusa Tenggara</x:v>
      </x:c>
      <x:c r="E64" s="28" t="str">
        <x:v>Labuan Bajo</x:v>
      </x:c>
      <x:c r="F64" s="28" t="str">
        <x:v>Jeppy / Marketing</x:v>
      </x:c>
      <x:c r="G64" s="30" t="str">
        <x:v>Pending</x:v>
      </x:c>
      <x:c r="H64" s="30" t="str">
        <x:v>Pending</x:v>
      </x:c>
      <x:c r="I64" s="30" t="str">
        <x:v>Pending</x:v>
      </x:c>
      <x:c r="J64" s="30" t="str">
        <x:v>Pending</x:v>
      </x:c>
      <x:c r="K64" s="30" t="str">
        <x:v>Pending</x:v>
      </x:c>
      <x:c r="L64" s="30" t="str">
        <x:v>Pending</x:v>
      </x:c>
      <x:c r="M64" s="30" t="str">
        <x:v>Pending</x:v>
      </x:c>
      <x:c r="N64" s="30" t="str">
        <x:f>IF(COUNTIF(G64:M64,"Blocked")&gt;0,"Blocked",IF(COUNTIF(G64:M64,"Done")+COUNTIF(G64:M64,"N/A")=7,"Complete",IF(COUNTIF(G64:M64,"Done")&gt;0,"In Progress","Not Started")))</x:f>
        <x:v>Not Started</x:v>
      </x:c>
      <x:c r="O64" s="30" t="str">
        <x:f>IF(N64="Complete","Done",IF(G64&lt;&gt;"Done","Jeppy / Marketing",IF(H64&lt;&gt;"Done","Jeppy / Marketing",IF(I64&lt;&gt;"Done","Creative",IF(J64&lt;&gt;"Done","Creative",IF(K64&lt;&gt;"Done","Malik / VM",IF(L64&lt;&gt;"Done","Erlin / Retail Ops",IF(M64&lt;&gt;"Done","Store PIC / Retail Ops","Done"))))))))</x:f>
        <x:v>Jeppy / Marketing</x:v>
      </x:c>
      <x:c r="P64" s="30" t="str">
        <x:f>IF(N64="Complete","No further action",IF(G64&lt;&gt;"Done","Provide official QR for this store",IF(H64&lt;&gt;"Done","Scan QR and verify store name",IF(I64&lt;&gt;"Done","Send QR to Creative",IF(J64&lt;&gt;"Done","Finalize artwork",IF(K64&lt;&gt;"Done","Approve VM placement",IF(L64&lt;&gt;"Done","Install at store",IF(M64&lt;&gt;"Done","Perform final scan test","No further action"))))))))</x:f>
        <x:v>Provide official QR for this store</x:v>
      </x:c>
      <x:c r="Q64" s="30" t="str">
        <x:v>Normal</x:v>
      </x:c>
      <x:c r="R64" s="29"/>
      <x:c r="S64" s="28" t="str"/>
      <x:c r="T64" s="29"/>
    </x:row>
  </x:sheetData>
  <x:conditionalFormatting sqref="N13:N64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Blocked"/>
    <x:cfRule type="containsText" dxfId="3" priority="4" operator="containsText" text="Not Started"/>
  </x:conditionalFormatting>
  <x:conditionalFormatting sqref="G13:M64">
    <x:cfRule type="containsText" dxfId="4" priority="5" operator="containsText" text="Done"/>
    <x:cfRule type="containsText" dxfId="5" priority="6" operator="containsText" text="Blocked"/>
    <x:cfRule type="containsText" dxfId="6" priority="7" operator="containsText" text="Pending"/>
  </x:conditionalFormatting>
  <x:conditionalFormatting sqref="Q13:Q64">
    <x:cfRule type="containsText" dxfId="7" priority="8" operator="containsText" text="Urgent"/>
    <x:cfRule type="containsText" dxfId="8" priority="9" operator="containsText" text="High"/>
  </x:conditionalFormatting>
  <x:dataValidations count="2">
    <x:dataValidation type="list" sqref="G13:M64">
      <x:formula1>"Pending,Done,Blocked,N/A"</x:formula1>
    </x:dataValidation>
    <x:dataValidation type="list" sqref="Q13:Q64">
      <x:formula1>"Low,Normal,High,Urgent"</x:formula1>
    </x:dataValidation>
  </x:dataValidations>
  <x:pageMargins left="0.7" right="0.7" top="0.75" bottom="0.75" header="0.3" footer="0.3"/>
</x:worksheet>
</file>